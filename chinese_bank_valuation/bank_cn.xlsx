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dengmbp21/Desktop/"/>
    </mc:Choice>
  </mc:AlternateContent>
  <xr:revisionPtr revIDLastSave="0" documentId="13_ncr:1_{2AE28F48-630A-724B-856C-2FB1524BCCEE}" xr6:coauthVersionLast="47" xr6:coauthVersionMax="47" xr10:uidLastSave="{00000000-0000-0000-0000-000000000000}"/>
  <bookViews>
    <workbookView xWindow="0" yWindow="620" windowWidth="38400" windowHeight="19640" xr2:uid="{BFAF63B6-90C8-1941-AC3E-1E353DA8FF0B}"/>
  </bookViews>
  <sheets>
    <sheet name="banks" sheetId="1" r:id="rId1"/>
    <sheet name="div1" sheetId="2" r:id="rId2"/>
    <sheet name="div2" sheetId="3" r:id="rId3"/>
    <sheet name="div3" sheetId="4" r:id="rId4"/>
    <sheet name="div4" sheetId="5" r:id="rId5"/>
    <sheet name="div5" sheetId="6" r:id="rId6"/>
    <sheet name="div6" sheetId="7" r:id="rId7"/>
    <sheet name="div7" sheetId="8" r:id="rId8"/>
    <sheet name="div8" sheetId="9" r:id="rId9"/>
    <sheet name="div9" sheetId="10" r:id="rId10"/>
    <sheet name="div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3" i="1"/>
  <c r="C18" i="11"/>
  <c r="B20" i="11"/>
  <c r="B19" i="11"/>
  <c r="C19" i="11" s="1"/>
  <c r="B18" i="11"/>
  <c r="B17" i="11"/>
  <c r="C17" i="11" s="1"/>
  <c r="B16" i="11"/>
  <c r="C16" i="11" s="1"/>
  <c r="B15" i="11"/>
  <c r="C15" i="11" s="1"/>
  <c r="B14" i="11"/>
  <c r="C14" i="11" s="1"/>
  <c r="B13" i="11"/>
  <c r="C13" i="11" s="1"/>
  <c r="C19" i="10"/>
  <c r="C16" i="10"/>
  <c r="B21" i="10"/>
  <c r="B20" i="10"/>
  <c r="C20" i="10" s="1"/>
  <c r="B19" i="10"/>
  <c r="B18" i="10"/>
  <c r="C18" i="10" s="1"/>
  <c r="B17" i="10"/>
  <c r="B16" i="10"/>
  <c r="B15" i="10"/>
  <c r="C15" i="10" s="1"/>
  <c r="B14" i="10"/>
  <c r="K11" i="1" s="1"/>
  <c r="C19" i="9"/>
  <c r="C18" i="9"/>
  <c r="C17" i="9"/>
  <c r="C20" i="9"/>
  <c r="B21" i="9"/>
  <c r="B20" i="9"/>
  <c r="B19" i="9"/>
  <c r="B18" i="9"/>
  <c r="B17" i="9"/>
  <c r="B16" i="9"/>
  <c r="C16" i="9" s="1"/>
  <c r="B15" i="9"/>
  <c r="B14" i="9"/>
  <c r="C14" i="9" s="1"/>
  <c r="B13" i="9"/>
  <c r="C13" i="9" s="1"/>
  <c r="B14" i="8"/>
  <c r="C14" i="8" s="1"/>
  <c r="C16" i="8"/>
  <c r="C20" i="8"/>
  <c r="B21" i="8"/>
  <c r="B20" i="8"/>
  <c r="B19" i="8"/>
  <c r="C19" i="8" s="1"/>
  <c r="B18" i="8"/>
  <c r="C18" i="8" s="1"/>
  <c r="B17" i="8"/>
  <c r="B16" i="8"/>
  <c r="B15" i="8"/>
  <c r="C15" i="8" s="1"/>
  <c r="C15" i="7"/>
  <c r="C16" i="7"/>
  <c r="B17" i="7"/>
  <c r="B16" i="7"/>
  <c r="B15" i="7"/>
  <c r="B14" i="7"/>
  <c r="C14" i="7" s="1"/>
  <c r="B13" i="7"/>
  <c r="C13" i="7" s="1"/>
  <c r="B12" i="7"/>
  <c r="C12" i="7" s="1"/>
  <c r="C17" i="6"/>
  <c r="B23" i="6"/>
  <c r="B22" i="6"/>
  <c r="C22" i="6" s="1"/>
  <c r="B21" i="6"/>
  <c r="C21" i="6" s="1"/>
  <c r="B20" i="6"/>
  <c r="C19" i="6" s="1"/>
  <c r="B19" i="6"/>
  <c r="B18" i="6"/>
  <c r="C18" i="6" s="1"/>
  <c r="B17" i="6"/>
  <c r="C16" i="6" s="1"/>
  <c r="B16" i="6"/>
  <c r="B15" i="6"/>
  <c r="C15" i="6" s="1"/>
  <c r="B14" i="6"/>
  <c r="K7" i="1" s="1"/>
  <c r="C19" i="5"/>
  <c r="C20" i="5"/>
  <c r="B21" i="5"/>
  <c r="B20" i="5"/>
  <c r="B19" i="5"/>
  <c r="B18" i="5"/>
  <c r="C18" i="5" s="1"/>
  <c r="B17" i="5"/>
  <c r="C17" i="5" s="1"/>
  <c r="B16" i="5"/>
  <c r="B15" i="5"/>
  <c r="C15" i="5" s="1"/>
  <c r="B14" i="5"/>
  <c r="K6" i="1" s="1"/>
  <c r="C16" i="4"/>
  <c r="C15" i="4"/>
  <c r="C19" i="4"/>
  <c r="B20" i="4"/>
  <c r="B19" i="4"/>
  <c r="B18" i="4"/>
  <c r="C18" i="4" s="1"/>
  <c r="B17" i="4"/>
  <c r="C17" i="4" s="1"/>
  <c r="B16" i="4"/>
  <c r="B15" i="4"/>
  <c r="B14" i="4"/>
  <c r="C14" i="4" s="1"/>
  <c r="B13" i="4"/>
  <c r="C13" i="4" s="1"/>
  <c r="C16" i="3"/>
  <c r="C19" i="3"/>
  <c r="B15" i="3"/>
  <c r="C15" i="3" s="1"/>
  <c r="B16" i="3"/>
  <c r="B17" i="3"/>
  <c r="C17" i="3" s="1"/>
  <c r="B18" i="3"/>
  <c r="C18" i="3" s="1"/>
  <c r="B19" i="3"/>
  <c r="B20" i="3"/>
  <c r="B14" i="3"/>
  <c r="C13" i="3" s="1"/>
  <c r="B13" i="3"/>
  <c r="K4" i="1" s="1"/>
  <c r="C13" i="2"/>
  <c r="E13" i="2" s="1"/>
  <c r="L3" i="1" s="1"/>
  <c r="C14" i="2"/>
  <c r="C15" i="2"/>
  <c r="C16" i="2"/>
  <c r="C17" i="2"/>
  <c r="C18" i="2"/>
  <c r="C19" i="2"/>
  <c r="E13" i="4" l="1"/>
  <c r="L5" i="1" s="1"/>
  <c r="E12" i="7"/>
  <c r="L8" i="1" s="1"/>
  <c r="E13" i="11"/>
  <c r="C15" i="9"/>
  <c r="E13" i="9" s="1"/>
  <c r="L10" i="1" s="1"/>
  <c r="C17" i="10"/>
  <c r="C14" i="6"/>
  <c r="C14" i="3"/>
  <c r="E13" i="3" s="1"/>
  <c r="L4" i="1" s="1"/>
  <c r="F4" i="1" s="1"/>
  <c r="G4" i="1" s="1"/>
  <c r="C14" i="5"/>
  <c r="K5" i="1"/>
  <c r="C20" i="6"/>
  <c r="C17" i="8"/>
  <c r="E14" i="8" s="1"/>
  <c r="L9" i="1" s="1"/>
  <c r="C16" i="5"/>
  <c r="K8" i="1"/>
  <c r="F8" i="1" s="1"/>
  <c r="G8" i="1" s="1"/>
  <c r="C14" i="10"/>
  <c r="E14" i="10" s="1"/>
  <c r="L11" i="1" s="1"/>
  <c r="F11" i="1" s="1"/>
  <c r="G11" i="1" s="1"/>
  <c r="K9" i="1"/>
  <c r="F9" i="1" s="1"/>
  <c r="G9" i="1" s="1"/>
  <c r="K10" i="1"/>
  <c r="F10" i="1" s="1"/>
  <c r="G10" i="1" s="1"/>
  <c r="F3" i="1"/>
  <c r="G3" i="1" s="1"/>
  <c r="E14" i="6" l="1"/>
  <c r="L7" i="1" s="1"/>
  <c r="F7" i="1" s="1"/>
  <c r="G7" i="1" s="1"/>
  <c r="F5" i="1"/>
  <c r="G5" i="1" s="1"/>
  <c r="E14" i="5"/>
  <c r="L6" i="1" s="1"/>
  <c r="F6" i="1" s="1"/>
  <c r="G6" i="1" s="1"/>
</calcChain>
</file>

<file path=xl/sharedStrings.xml><?xml version="1.0" encoding="utf-8"?>
<sst xmlns="http://schemas.openxmlformats.org/spreadsheetml/2006/main" count="423" uniqueCount="59">
  <si>
    <t>ticker</t>
  </si>
  <si>
    <t>name</t>
  </si>
  <si>
    <t>g</t>
  </si>
  <si>
    <t>农业银行</t>
  </si>
  <si>
    <t>工商银行</t>
  </si>
  <si>
    <t>建设银行</t>
  </si>
  <si>
    <t>中国银行</t>
  </si>
  <si>
    <t>招商银行</t>
  </si>
  <si>
    <t>邮储银行</t>
  </si>
  <si>
    <t>交通银行</t>
  </si>
  <si>
    <t>兴业银行</t>
  </si>
  <si>
    <t>中信银行</t>
  </si>
  <si>
    <t>his_max</t>
  </si>
  <si>
    <t>his_min</t>
  </si>
  <si>
    <t>pe</t>
  </si>
  <si>
    <t>报告期</t>
  </si>
  <si>
    <t>公告日期</t>
  </si>
  <si>
    <t>分红方案</t>
  </si>
  <si>
    <t>股权登记日</t>
  </si>
  <si>
    <t>除权除息日</t>
  </si>
  <si>
    <t>派息日</t>
  </si>
  <si>
    <t>方案进度</t>
  </si>
  <si>
    <t>分配对象</t>
  </si>
  <si>
    <t>2025半年报</t>
  </si>
  <si>
    <t>10派1.414元</t>
  </si>
  <si>
    <t>--</t>
  </si>
  <si>
    <t>董事会预案</t>
  </si>
  <si>
    <t>全体股东</t>
  </si>
  <si>
    <t>2024年报</t>
  </si>
  <si>
    <t>10派1.646元</t>
  </si>
  <si>
    <t>实施方案</t>
  </si>
  <si>
    <t>A股股东</t>
  </si>
  <si>
    <t>2024半年报</t>
  </si>
  <si>
    <t>10派1.434元</t>
  </si>
  <si>
    <t>2023年报</t>
  </si>
  <si>
    <t>10派3.064元</t>
  </si>
  <si>
    <t>2022年报</t>
  </si>
  <si>
    <t>10派3.035元</t>
  </si>
  <si>
    <t>2021年报</t>
  </si>
  <si>
    <t>10派2.933元</t>
  </si>
  <si>
    <t>2020年报</t>
  </si>
  <si>
    <t>10派2.66元</t>
  </si>
  <si>
    <t>2019年报</t>
  </si>
  <si>
    <t>10派2.628元</t>
  </si>
  <si>
    <t>2018年报</t>
  </si>
  <si>
    <t>10派2.506元</t>
  </si>
  <si>
    <t>2017年报</t>
  </si>
  <si>
    <t>10派2.408元</t>
  </si>
  <si>
    <t>2016年报</t>
  </si>
  <si>
    <t>2015年报</t>
  </si>
  <si>
    <t>股东大会预案</t>
  </si>
  <si>
    <t>10转3派2</t>
  </si>
  <si>
    <t>10转1派5.15</t>
  </si>
  <si>
    <t>div_24</t>
  </si>
  <si>
    <t>div_dis</t>
  </si>
  <si>
    <t>re_ret</t>
  </si>
  <si>
    <t>average</t>
  </si>
  <si>
    <t>price_6_nov_25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</si>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</sst>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3333"/>
      <name val="SimSun"/>
      <charset val="134"/>
    </font>
    <font>
      <sz val="12"/>
      <color rgb="FF003294"/>
      <name val="SimSun"/>
      <charset val="134"/>
    </font>
    <font>
      <sz val="12"/>
      <color rgb="FF003598"/>
      <name val="SimSun"/>
      <charset val="134"/>
    </font>
    <font>
      <sz val="12"/>
      <color rgb="FF009900"/>
      <name val="SimSun"/>
      <charset val="134"/>
    </font>
    <font>
      <sz val="12"/>
      <color rgb="FFFF0000"/>
      <name val="SimSun"/>
      <charset val="134"/>
    </font>
    <font>
      <u/>
      <sz val="12"/>
      <color theme="10"/>
      <name val="Aptos Narrow"/>
      <family val="2"/>
      <scheme val="minor"/>
    </font>
    <font>
      <b/>
      <sz val="14"/>
      <color rgb="FF505050"/>
      <name val="SimSun"/>
      <charset val="134"/>
    </font>
    <font>
      <sz val="14"/>
      <color rgb="FF505050"/>
      <name val="SimSun"/>
      <charset val="134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2"/>
    <xf numFmtId="0" fontId="5" fillId="0" borderId="0" xfId="0" applyFont="1"/>
    <xf numFmtId="10" fontId="0" fillId="0" borderId="0" xfId="0" applyNumberFormat="1"/>
    <xf numFmtId="10" fontId="5" fillId="0" borderId="0" xfId="0" applyNumberFormat="1" applyFont="1"/>
    <xf numFmtId="10" fontId="2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2" fontId="9" fillId="0" borderId="0" xfId="0" applyNumberFormat="1" applyFont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165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0" fillId="0" borderId="0" xfId="0" applyFont="1"/>
    <xf numFmtId="0" fontId="9" fillId="2" borderId="0" xfId="0" applyFont="1" applyFill="1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uote.eastmoney.com/unify/r/1.601988" TargetMode="External"/><Relationship Id="rId13" Type="http://schemas.openxmlformats.org/officeDocument/2006/relationships/hyperlink" Target="https://quote.eastmoney.com/unify/r/1.601328" TargetMode="External"/><Relationship Id="rId18" Type="http://schemas.openxmlformats.org/officeDocument/2006/relationships/hyperlink" Target="https://quote.eastmoney.com/unify/r/1.601998" TargetMode="External"/><Relationship Id="rId3" Type="http://schemas.openxmlformats.org/officeDocument/2006/relationships/hyperlink" Target="https://quote.eastmoney.com/unify/r/1.601288" TargetMode="External"/><Relationship Id="rId7" Type="http://schemas.openxmlformats.org/officeDocument/2006/relationships/hyperlink" Target="https://quote.eastmoney.com/unify/r/1.601988" TargetMode="External"/><Relationship Id="rId12" Type="http://schemas.openxmlformats.org/officeDocument/2006/relationships/hyperlink" Target="https://quote.eastmoney.com/unify/r/1.601658" TargetMode="External"/><Relationship Id="rId17" Type="http://schemas.openxmlformats.org/officeDocument/2006/relationships/hyperlink" Target="https://quote.eastmoney.com/unify/r/1.601998" TargetMode="External"/><Relationship Id="rId2" Type="http://schemas.openxmlformats.org/officeDocument/2006/relationships/hyperlink" Target="https://quote.eastmoney.com/unify/r/1.601398" TargetMode="External"/><Relationship Id="rId16" Type="http://schemas.openxmlformats.org/officeDocument/2006/relationships/hyperlink" Target="https://quote.eastmoney.com/unify/r/1.601166" TargetMode="External"/><Relationship Id="rId1" Type="http://schemas.openxmlformats.org/officeDocument/2006/relationships/hyperlink" Target="https://quote.eastmoney.com/unify/r/1.601398" TargetMode="External"/><Relationship Id="rId6" Type="http://schemas.openxmlformats.org/officeDocument/2006/relationships/hyperlink" Target="https://quote.eastmoney.com/unify/r/1.601939" TargetMode="External"/><Relationship Id="rId11" Type="http://schemas.openxmlformats.org/officeDocument/2006/relationships/hyperlink" Target="https://quote.eastmoney.com/unify/r/1.601658" TargetMode="External"/><Relationship Id="rId5" Type="http://schemas.openxmlformats.org/officeDocument/2006/relationships/hyperlink" Target="https://quote.eastmoney.com/unify/r/1.601939" TargetMode="External"/><Relationship Id="rId15" Type="http://schemas.openxmlformats.org/officeDocument/2006/relationships/hyperlink" Target="https://quote.eastmoney.com/unify/r/1.601166" TargetMode="External"/><Relationship Id="rId10" Type="http://schemas.openxmlformats.org/officeDocument/2006/relationships/hyperlink" Target="https://quote.eastmoney.com/unify/r/1.600036" TargetMode="External"/><Relationship Id="rId4" Type="http://schemas.openxmlformats.org/officeDocument/2006/relationships/hyperlink" Target="https://quote.eastmoney.com/unify/r/1.601288" TargetMode="External"/><Relationship Id="rId9" Type="http://schemas.openxmlformats.org/officeDocument/2006/relationships/hyperlink" Target="https://quote.eastmoney.com/unify/r/1.600036" TargetMode="External"/><Relationship Id="rId14" Type="http://schemas.openxmlformats.org/officeDocument/2006/relationships/hyperlink" Target="https://quote.eastmoney.com/unify/r/1.601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CF0A-0EA4-4049-8457-31D72EE81A20}">
  <dimension ref="B1:AC23"/>
  <sheetViews>
    <sheetView showGridLines="0" tabSelected="1" zoomScale="230" workbookViewId="0">
      <selection activeCell="B2" sqref="B2:J12"/>
    </sheetView>
  </sheetViews>
  <sheetFormatPr baseColWidth="10" defaultRowHeight="16" x14ac:dyDescent="0.2"/>
  <cols>
    <col min="5" max="5" width="13.6640625" bestFit="1" customWidth="1"/>
    <col min="6" max="6" width="11.33203125" customWidth="1"/>
    <col min="7" max="7" width="9.33203125" customWidth="1"/>
    <col min="8" max="8" width="12.83203125" bestFit="1" customWidth="1"/>
    <col min="9" max="9" width="11.33203125" customWidth="1"/>
    <col min="10" max="10" width="11.5" customWidth="1"/>
    <col min="12" max="12" width="7.83203125" customWidth="1"/>
  </cols>
  <sheetData>
    <row r="1" spans="2:29" ht="29" customHeight="1" x14ac:dyDescent="0.2"/>
    <row r="2" spans="2:29" x14ac:dyDescent="0.2">
      <c r="B2" s="27" t="s">
        <v>55</v>
      </c>
      <c r="C2" s="27" t="s">
        <v>0</v>
      </c>
      <c r="D2" s="27" t="s">
        <v>1</v>
      </c>
      <c r="E2" s="27" t="s">
        <v>57</v>
      </c>
      <c r="F2" s="27" t="s">
        <v>54</v>
      </c>
      <c r="G2" s="27" t="s">
        <v>58</v>
      </c>
      <c r="H2" s="27" t="s">
        <v>12</v>
      </c>
      <c r="I2" s="27" t="s">
        <v>13</v>
      </c>
      <c r="J2" s="27" t="s">
        <v>14</v>
      </c>
      <c r="K2" s="23" t="s">
        <v>53</v>
      </c>
      <c r="L2" s="23" t="s">
        <v>2</v>
      </c>
    </row>
    <row r="3" spans="2:29" x14ac:dyDescent="0.2">
      <c r="B3" s="28">
        <v>4.4999999999999998E-2</v>
      </c>
      <c r="C3" s="27">
        <v>601398</v>
      </c>
      <c r="D3" s="27" t="s">
        <v>4</v>
      </c>
      <c r="E3" s="27">
        <v>8.14</v>
      </c>
      <c r="F3" s="27">
        <f t="shared" ref="F3:F11" si="0">(K3*(1+L3)/$B$3-L3)/10</f>
        <v>7.0889235939805202</v>
      </c>
      <c r="G3" s="29">
        <f>F3/E3</f>
        <v>0.87087513439564124</v>
      </c>
      <c r="H3" s="27">
        <v>8.15</v>
      </c>
      <c r="I3" s="27">
        <v>8.06</v>
      </c>
      <c r="J3" s="27">
        <v>8.01</v>
      </c>
      <c r="K3" s="23">
        <f>'div1'!B13</f>
        <v>3.08</v>
      </c>
      <c r="L3" s="24">
        <f>'div1'!E13</f>
        <v>3.6248967806007899E-2</v>
      </c>
    </row>
    <row r="4" spans="2:29" x14ac:dyDescent="0.2">
      <c r="B4" s="27"/>
      <c r="C4" s="27">
        <v>601288</v>
      </c>
      <c r="D4" s="27" t="s">
        <v>3</v>
      </c>
      <c r="E4" s="27">
        <v>8.18</v>
      </c>
      <c r="F4" s="27">
        <f t="shared" si="0"/>
        <v>5.6147745844179857</v>
      </c>
      <c r="G4" s="29">
        <f t="shared" ref="G4:G11" si="1">F4/E4</f>
        <v>0.68640276093129415</v>
      </c>
      <c r="H4" s="27">
        <v>8.18</v>
      </c>
      <c r="I4" s="27">
        <v>8.06</v>
      </c>
      <c r="J4" s="27">
        <v>9.6999999999999993</v>
      </c>
      <c r="K4" s="23">
        <f>'div2'!B13</f>
        <v>2.4189999999999996</v>
      </c>
      <c r="L4" s="24">
        <f>'div2'!E13</f>
        <v>4.5344803280578869E-2</v>
      </c>
    </row>
    <row r="5" spans="2:29" x14ac:dyDescent="0.2">
      <c r="B5" s="27"/>
      <c r="C5" s="27">
        <v>601939</v>
      </c>
      <c r="D5" s="27" t="s">
        <v>5</v>
      </c>
      <c r="E5" s="27">
        <v>9.48</v>
      </c>
      <c r="F5" s="27">
        <f t="shared" si="0"/>
        <v>9.3819776239023227</v>
      </c>
      <c r="G5" s="29">
        <f t="shared" si="1"/>
        <v>0.98966008690952767</v>
      </c>
      <c r="H5" s="27">
        <v>9.48</v>
      </c>
      <c r="I5" s="27">
        <v>9.39</v>
      </c>
      <c r="J5" s="27">
        <v>7.2</v>
      </c>
      <c r="K5" s="23">
        <f>'div3'!B13</f>
        <v>4.03</v>
      </c>
      <c r="L5" s="24">
        <f>'div3'!E13</f>
        <v>4.8153056651453988E-2</v>
      </c>
    </row>
    <row r="6" spans="2:29" x14ac:dyDescent="0.2">
      <c r="B6" s="27"/>
      <c r="C6" s="27">
        <v>601988</v>
      </c>
      <c r="D6" s="27" t="s">
        <v>6</v>
      </c>
      <c r="E6" s="27">
        <v>5.69</v>
      </c>
      <c r="F6" s="27">
        <f t="shared" si="0"/>
        <v>5.6365440110357792</v>
      </c>
      <c r="G6" s="29">
        <f t="shared" si="1"/>
        <v>0.990605274347237</v>
      </c>
      <c r="H6" s="27">
        <v>5.7</v>
      </c>
      <c r="I6" s="27">
        <v>5.64</v>
      </c>
      <c r="J6" s="27">
        <v>7.7</v>
      </c>
      <c r="K6" s="23">
        <f>'div4'!B14</f>
        <v>2.4239999999999999</v>
      </c>
      <c r="L6" s="24">
        <f>'div4'!E14</f>
        <v>4.726557585796555E-2</v>
      </c>
    </row>
    <row r="7" spans="2:29" x14ac:dyDescent="0.2">
      <c r="B7" s="27"/>
      <c r="C7" s="27">
        <v>600036</v>
      </c>
      <c r="D7" s="27" t="s">
        <v>7</v>
      </c>
      <c r="E7" s="27">
        <v>42.8</v>
      </c>
      <c r="F7" s="27">
        <f t="shared" si="0"/>
        <v>50.124714107002006</v>
      </c>
      <c r="G7" s="29">
        <f t="shared" si="1"/>
        <v>1.1711381800701404</v>
      </c>
      <c r="H7" s="27">
        <v>42.89</v>
      </c>
      <c r="I7" s="27">
        <v>42.31</v>
      </c>
      <c r="J7" s="27">
        <v>7.04</v>
      </c>
      <c r="K7" s="23">
        <f>'div5'!B14</f>
        <v>20</v>
      </c>
      <c r="L7" s="24">
        <f>'div5'!E14</f>
        <v>0.12809427953650243</v>
      </c>
    </row>
    <row r="8" spans="2:29" x14ac:dyDescent="0.2">
      <c r="B8" s="27"/>
      <c r="C8" s="27">
        <v>601658</v>
      </c>
      <c r="D8" s="27" t="s">
        <v>8</v>
      </c>
      <c r="E8" s="27">
        <v>5.91</v>
      </c>
      <c r="F8" s="27">
        <f t="shared" si="0"/>
        <v>6.082138366871269</v>
      </c>
      <c r="G8" s="29">
        <f t="shared" si="1"/>
        <v>1.0291266272201809</v>
      </c>
      <c r="H8" s="27">
        <v>5.93</v>
      </c>
      <c r="I8" s="27">
        <v>5.84</v>
      </c>
      <c r="J8" s="27">
        <v>6.88</v>
      </c>
      <c r="K8" s="23">
        <f>'div6'!B12</f>
        <v>2.6160000000000001</v>
      </c>
      <c r="L8" s="24">
        <f>'div6'!E12</f>
        <v>4.7048722322859171E-2</v>
      </c>
      <c r="M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1"/>
    </row>
    <row r="9" spans="2:29" x14ac:dyDescent="0.2">
      <c r="B9" s="27"/>
      <c r="C9" s="27">
        <v>601328</v>
      </c>
      <c r="D9" s="27" t="s">
        <v>9</v>
      </c>
      <c r="E9" s="27">
        <v>7.34</v>
      </c>
      <c r="F9" s="27">
        <f t="shared" si="0"/>
        <v>8.7710137052537291</v>
      </c>
      <c r="G9" s="29">
        <f t="shared" si="1"/>
        <v>1.1949609952661757</v>
      </c>
      <c r="H9" s="27">
        <v>7.36</v>
      </c>
      <c r="I9" s="27">
        <v>7.29</v>
      </c>
      <c r="J9" s="27">
        <v>6.95</v>
      </c>
      <c r="K9" s="23">
        <f>'div7'!B14</f>
        <v>3.79</v>
      </c>
      <c r="L9" s="24">
        <f>'div7'!E14</f>
        <v>4.1910859109259881E-2</v>
      </c>
      <c r="M9" s="4"/>
      <c r="P9" s="7"/>
      <c r="Q9" s="5"/>
      <c r="R9" s="1"/>
      <c r="S9" s="1"/>
      <c r="T9" s="8"/>
      <c r="U9" s="9"/>
      <c r="V9" s="5"/>
      <c r="W9" s="5"/>
      <c r="X9" s="1"/>
      <c r="Y9" s="1"/>
      <c r="Z9" s="8"/>
      <c r="AA9" s="1"/>
      <c r="AB9" s="1"/>
      <c r="AC9" s="1"/>
    </row>
    <row r="10" spans="2:29" x14ac:dyDescent="0.2">
      <c r="B10" s="27"/>
      <c r="C10" s="27">
        <v>601166</v>
      </c>
      <c r="D10" s="27" t="s">
        <v>10</v>
      </c>
      <c r="E10" s="27">
        <v>21.22</v>
      </c>
      <c r="F10" s="27">
        <f t="shared" si="0"/>
        <v>25.364433102258616</v>
      </c>
      <c r="G10" s="29">
        <f t="shared" si="1"/>
        <v>1.1953078747529979</v>
      </c>
      <c r="H10" s="27">
        <v>21.37</v>
      </c>
      <c r="I10" s="27">
        <v>21.02</v>
      </c>
      <c r="J10" s="27">
        <v>5.32</v>
      </c>
      <c r="K10" s="23">
        <f>'div8'!B13</f>
        <v>10.6</v>
      </c>
      <c r="L10" s="24">
        <f>'div8'!E13</f>
        <v>7.7119364852333117E-2</v>
      </c>
      <c r="M10" s="4"/>
      <c r="P10" s="7"/>
      <c r="Q10" s="5"/>
      <c r="R10" s="1"/>
      <c r="S10" s="1"/>
      <c r="T10" s="8"/>
      <c r="U10" s="1"/>
      <c r="V10" s="5"/>
      <c r="W10" s="5"/>
      <c r="X10" s="1"/>
      <c r="Y10" s="1"/>
      <c r="Z10" s="8"/>
      <c r="AA10" s="1"/>
      <c r="AB10" s="1"/>
      <c r="AC10" s="1"/>
    </row>
    <row r="11" spans="2:29" x14ac:dyDescent="0.2">
      <c r="B11" s="27"/>
      <c r="C11" s="27">
        <v>601998</v>
      </c>
      <c r="D11" s="27" t="s">
        <v>11</v>
      </c>
      <c r="E11" s="27">
        <v>8.1</v>
      </c>
      <c r="F11" s="27">
        <f t="shared" si="0"/>
        <v>8.2606460242717326</v>
      </c>
      <c r="G11" s="29">
        <f t="shared" si="1"/>
        <v>1.019832842502683</v>
      </c>
      <c r="H11" s="27">
        <v>8.09</v>
      </c>
      <c r="I11" s="27">
        <v>7.98</v>
      </c>
      <c r="J11" s="27">
        <v>6.25</v>
      </c>
      <c r="K11" s="23">
        <f>'div9'!B14</f>
        <v>3.5469999999999997</v>
      </c>
      <c r="L11" s="24">
        <f>'div9'!E14</f>
        <v>4.8626702147995311E-2</v>
      </c>
      <c r="M11" s="4"/>
      <c r="P11" s="7"/>
      <c r="Q11" s="5"/>
      <c r="R11" s="1"/>
      <c r="S11" s="1"/>
      <c r="T11" s="8"/>
      <c r="U11" s="1"/>
      <c r="V11" s="5"/>
      <c r="W11" s="5"/>
      <c r="X11" s="1"/>
      <c r="Y11" s="1"/>
      <c r="Z11" s="8"/>
      <c r="AA11" s="1"/>
      <c r="AB11" s="1"/>
      <c r="AC11" s="1"/>
    </row>
    <row r="12" spans="2:29" x14ac:dyDescent="0.2">
      <c r="B12" s="27" t="s">
        <v>56</v>
      </c>
      <c r="C12" s="27"/>
      <c r="D12" s="27"/>
      <c r="E12" s="30"/>
      <c r="F12" s="27"/>
      <c r="G12" s="27"/>
      <c r="H12" s="27"/>
      <c r="I12" s="27"/>
      <c r="J12" s="31">
        <f>AVERAGE(J3:J11)</f>
        <v>7.2277777777777787</v>
      </c>
      <c r="K12" s="25"/>
      <c r="L12" s="26"/>
      <c r="M12" s="4"/>
      <c r="N12" s="3"/>
      <c r="O12" s="5"/>
      <c r="P12" s="7"/>
      <c r="Q12" s="5"/>
      <c r="R12" s="1"/>
      <c r="S12" s="1"/>
      <c r="T12" s="8"/>
      <c r="U12" s="9"/>
      <c r="V12" s="5"/>
      <c r="W12" s="5"/>
      <c r="X12" s="1"/>
      <c r="Y12" s="1"/>
      <c r="Z12" s="8"/>
      <c r="AA12" s="1"/>
      <c r="AB12" s="1"/>
      <c r="AC12" s="1"/>
    </row>
    <row r="13" spans="2:29" x14ac:dyDescent="0.2">
      <c r="K13" s="1"/>
      <c r="L13" s="4"/>
      <c r="M13" s="4"/>
      <c r="N13" s="3"/>
      <c r="O13" s="5"/>
      <c r="P13" s="7"/>
      <c r="Q13" s="5"/>
      <c r="R13" s="1"/>
      <c r="S13" s="1"/>
      <c r="T13" s="8"/>
      <c r="U13" s="9"/>
      <c r="V13" s="5"/>
      <c r="W13" s="5"/>
      <c r="X13" s="1"/>
      <c r="Y13" s="1"/>
      <c r="Z13" s="8"/>
      <c r="AA13" s="1"/>
      <c r="AB13" s="1"/>
      <c r="AC13" s="1"/>
    </row>
    <row r="14" spans="2:29" x14ac:dyDescent="0.2">
      <c r="K14" s="1"/>
      <c r="L14" s="4"/>
      <c r="M14" s="4"/>
      <c r="N14" s="3"/>
      <c r="O14" s="5"/>
      <c r="P14" s="7"/>
      <c r="Q14" s="5"/>
      <c r="R14" s="1"/>
      <c r="S14" s="1"/>
      <c r="T14" s="8"/>
      <c r="U14" s="9"/>
      <c r="V14" s="5"/>
      <c r="W14" s="5"/>
      <c r="X14" s="1"/>
      <c r="Y14" s="1"/>
      <c r="Z14" s="8"/>
      <c r="AA14" s="1"/>
      <c r="AB14" s="1"/>
      <c r="AC14" s="1"/>
    </row>
    <row r="15" spans="2:29" x14ac:dyDescent="0.2">
      <c r="B15" s="18"/>
      <c r="H15" s="1"/>
      <c r="K15" s="1"/>
      <c r="L15" s="4"/>
      <c r="M15" s="4"/>
      <c r="N15" s="3"/>
      <c r="O15" s="1"/>
      <c r="P15" s="8"/>
      <c r="Q15" s="1"/>
      <c r="R15" s="1"/>
      <c r="S15" s="1"/>
      <c r="T15" s="8"/>
      <c r="U15" s="9"/>
      <c r="V15" s="5"/>
      <c r="W15" s="1"/>
      <c r="X15" s="1"/>
      <c r="Y15" s="1"/>
      <c r="Z15" s="8"/>
      <c r="AA15" s="1"/>
      <c r="AB15" s="1"/>
      <c r="AC15" s="1"/>
    </row>
    <row r="16" spans="2:29" x14ac:dyDescent="0.2">
      <c r="H16" s="1"/>
      <c r="K16" s="1"/>
      <c r="L16" s="4"/>
      <c r="M16" s="4"/>
      <c r="N16" s="3"/>
      <c r="O16" s="5"/>
      <c r="P16" s="7"/>
      <c r="Q16" s="5"/>
      <c r="R16" s="1"/>
      <c r="S16" s="1"/>
      <c r="T16" s="8"/>
      <c r="U16" s="9"/>
      <c r="V16" s="5"/>
      <c r="W16" s="5"/>
      <c r="X16" s="1"/>
      <c r="Y16" s="1"/>
      <c r="Z16" s="8"/>
      <c r="AA16" s="1"/>
      <c r="AB16" s="1"/>
      <c r="AC16" s="1"/>
    </row>
    <row r="17" spans="8:29" x14ac:dyDescent="0.2">
      <c r="H17" s="1"/>
      <c r="K17" s="1"/>
      <c r="L17" s="4"/>
      <c r="M17" s="4"/>
      <c r="N17" s="3"/>
      <c r="O17" s="5"/>
      <c r="P17" s="7"/>
      <c r="Q17" s="5"/>
      <c r="R17" s="1"/>
      <c r="S17" s="1"/>
      <c r="T17" s="8"/>
      <c r="U17" s="5"/>
      <c r="V17" s="5"/>
      <c r="W17" s="5"/>
      <c r="X17" s="1"/>
      <c r="Y17" s="1"/>
      <c r="Z17" s="8"/>
      <c r="AA17" s="1"/>
      <c r="AB17" s="1"/>
      <c r="AC17" s="1"/>
    </row>
    <row r="18" spans="8:29" x14ac:dyDescent="0.2">
      <c r="H18" s="1"/>
      <c r="K18" s="1"/>
      <c r="L18" s="4"/>
      <c r="M18" s="4"/>
      <c r="N18" s="3"/>
      <c r="O18" s="5"/>
      <c r="P18" s="7"/>
      <c r="Q18" s="5"/>
      <c r="R18" s="1"/>
      <c r="S18" s="1"/>
      <c r="T18" s="8"/>
      <c r="U18" s="5"/>
      <c r="V18" s="5"/>
      <c r="W18" s="5"/>
      <c r="X18" s="1"/>
      <c r="Y18" s="1"/>
      <c r="Z18" s="8"/>
      <c r="AA18" s="1"/>
      <c r="AB18" s="1"/>
      <c r="AC18" s="1"/>
    </row>
    <row r="19" spans="8:29" x14ac:dyDescent="0.2">
      <c r="H19" s="1"/>
    </row>
    <row r="20" spans="8:29" x14ac:dyDescent="0.2">
      <c r="H20" s="1"/>
    </row>
    <row r="21" spans="8:29" x14ac:dyDescent="0.2">
      <c r="H21" s="1"/>
    </row>
    <row r="22" spans="8:29" x14ac:dyDescent="0.2">
      <c r="H22" s="1"/>
    </row>
    <row r="23" spans="8:29" x14ac:dyDescent="0.2">
      <c r="H23" s="1"/>
    </row>
  </sheetData>
  <conditionalFormatting sqref="F3:F11">
    <cfRule type="cellIs" dxfId="3" priority="1" operator="lessThan">
      <formula>E3</formula>
    </cfRule>
    <cfRule type="cellIs" dxfId="2" priority="2" operator="greaterThan">
      <formula>E3</formula>
    </cfRule>
  </conditionalFormatting>
  <conditionalFormatting sqref="J3:J11">
    <cfRule type="cellIs" dxfId="1" priority="6" operator="lessThan">
      <formula>$J$12</formula>
    </cfRule>
    <cfRule type="cellIs" dxfId="0" priority="7" operator="greaterThan">
      <formula>$J$12</formula>
    </cfRule>
  </conditionalFormatting>
  <hyperlinks>
    <hyperlink ref="C3" r:id="rId1" display="https://quote.eastmoney.com/unify/r/1.601398" xr:uid="{C7AA4CE0-B65A-F449-958F-CD33AE2EE76C}"/>
    <hyperlink ref="D3" r:id="rId2" tooltip="工商银行" display="https://quote.eastmoney.com/unify/r/1.601398" xr:uid="{6B41BFA1-7CFB-1748-A525-273E6F5947E7}"/>
    <hyperlink ref="C4" r:id="rId3" display="https://quote.eastmoney.com/unify/r/1.601288" xr:uid="{89A6155D-28F4-014D-A85B-A24380C30680}"/>
    <hyperlink ref="D4" r:id="rId4" tooltip="农业银行" display="https://quote.eastmoney.com/unify/r/1.601288" xr:uid="{AF9641AD-3544-5E47-948D-0123E4E7B027}"/>
    <hyperlink ref="C5" r:id="rId5" display="https://quote.eastmoney.com/unify/r/1.601939" xr:uid="{BB8C0597-D21A-2F4A-8440-D76435225999}"/>
    <hyperlink ref="D5" r:id="rId6" tooltip="建设银行" display="https://quote.eastmoney.com/unify/r/1.601939" xr:uid="{83190BD0-1A90-EB46-B8E5-19142EB52506}"/>
    <hyperlink ref="C6" r:id="rId7" display="https://quote.eastmoney.com/unify/r/1.601988" xr:uid="{5257504B-6C46-554E-98F3-F99C82304637}"/>
    <hyperlink ref="D6" r:id="rId8" tooltip="中国银行" display="https://quote.eastmoney.com/unify/r/1.601988" xr:uid="{E457FA2F-E9DA-BB46-94F2-AFCA1261B0A1}"/>
    <hyperlink ref="C7" r:id="rId9" display="https://quote.eastmoney.com/unify/r/1.600036" xr:uid="{AD5EA3EA-5BB5-9C41-BA11-A542FDE070B2}"/>
    <hyperlink ref="D7" r:id="rId10" tooltip="招商银行" display="https://quote.eastmoney.com/unify/r/1.600036" xr:uid="{7209B8CB-4960-8540-9420-4F69890851FB}"/>
    <hyperlink ref="C8" r:id="rId11" display="https://quote.eastmoney.com/unify/r/1.601658" xr:uid="{B6645B65-8C02-B048-8C11-311ED6A019BA}"/>
    <hyperlink ref="D8" r:id="rId12" tooltip="邮储银行" display="https://quote.eastmoney.com/unify/r/1.601658" xr:uid="{4F803C6B-63FB-684F-A78E-9ABAC43A2FD7}"/>
    <hyperlink ref="C9" r:id="rId13" display="https://quote.eastmoney.com/unify/r/1.601328" xr:uid="{F18100CE-093D-CD43-88E1-5543DCB4CC36}"/>
    <hyperlink ref="D9" r:id="rId14" tooltip="交通银行" display="https://quote.eastmoney.com/unify/r/1.601328" xr:uid="{64FEFECB-CD17-FF43-AD26-4400415BAE60}"/>
    <hyperlink ref="C10" r:id="rId15" display="https://quote.eastmoney.com/unify/r/1.601166" xr:uid="{E8D46924-2159-C444-9A01-EC8DB7C7C560}"/>
    <hyperlink ref="D10" r:id="rId16" tooltip="兴业银行" display="https://quote.eastmoney.com/unify/r/1.601166" xr:uid="{6F65F91A-F326-4946-8FB0-957F90DE210C}"/>
    <hyperlink ref="C11" r:id="rId17" display="https://quote.eastmoney.com/unify/r/1.601998" xr:uid="{652CCE90-60B8-4F48-888D-A054091868F1}"/>
    <hyperlink ref="D11" r:id="rId18" tooltip="中信银行" display="https://quote.eastmoney.com/unify/r/1.601998" xr:uid="{B7AF281F-85D2-4749-8CA8-F8770D5EF0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8B52-B6EB-414D-9E6B-716FA4F801CD}">
  <dimension ref="A1:H20"/>
  <sheetViews>
    <sheetView zoomScale="186" workbookViewId="0">
      <selection activeCell="E14" sqref="E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45899</v>
      </c>
      <c r="C2" s="11" t="s">
        <v>24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45846</v>
      </c>
      <c r="C3" s="11" t="s">
        <v>29</v>
      </c>
      <c r="D3" s="12">
        <v>45849</v>
      </c>
      <c r="E3" s="12">
        <v>45852</v>
      </c>
      <c r="F3" s="12">
        <v>45852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45657</v>
      </c>
      <c r="C4" s="11" t="s">
        <v>33</v>
      </c>
      <c r="D4" s="12">
        <v>45663</v>
      </c>
      <c r="E4" s="12">
        <v>45664</v>
      </c>
      <c r="F4" s="12">
        <v>45664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45482</v>
      </c>
      <c r="C5" s="11" t="s">
        <v>35</v>
      </c>
      <c r="D5" s="12">
        <v>45488</v>
      </c>
      <c r="E5" s="12">
        <v>45489</v>
      </c>
      <c r="F5" s="12">
        <v>45489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45118</v>
      </c>
      <c r="C6" s="11" t="s">
        <v>37</v>
      </c>
      <c r="D6" s="12">
        <v>45121</v>
      </c>
      <c r="E6" s="12">
        <v>45124</v>
      </c>
      <c r="F6" s="12">
        <v>45124</v>
      </c>
      <c r="G6" s="11" t="s">
        <v>30</v>
      </c>
      <c r="H6" s="11" t="s">
        <v>31</v>
      </c>
    </row>
    <row r="7" spans="1:8" ht="18" x14ac:dyDescent="0.2">
      <c r="A7" s="11" t="s">
        <v>38</v>
      </c>
      <c r="B7" s="12">
        <v>44747</v>
      </c>
      <c r="C7" s="11" t="s">
        <v>39</v>
      </c>
      <c r="D7" s="12">
        <v>44753</v>
      </c>
      <c r="E7" s="12">
        <v>44754</v>
      </c>
      <c r="F7" s="12">
        <v>44754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44376</v>
      </c>
      <c r="C8" s="11" t="s">
        <v>41</v>
      </c>
      <c r="D8" s="12">
        <v>44382</v>
      </c>
      <c r="E8" s="12">
        <v>44383</v>
      </c>
      <c r="F8" s="12">
        <v>44383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44002</v>
      </c>
      <c r="C9" s="11" t="s">
        <v>43</v>
      </c>
      <c r="D9" s="12">
        <v>44011</v>
      </c>
      <c r="E9" s="12">
        <v>44012</v>
      </c>
      <c r="F9" s="12">
        <v>44012</v>
      </c>
      <c r="G9" s="11" t="s">
        <v>30</v>
      </c>
      <c r="H9" s="11" t="s">
        <v>31</v>
      </c>
    </row>
    <row r="10" spans="1:8" ht="18" x14ac:dyDescent="0.2">
      <c r="A10" s="11" t="s">
        <v>44</v>
      </c>
      <c r="B10" s="12">
        <v>43643</v>
      </c>
      <c r="C10" s="11" t="s">
        <v>45</v>
      </c>
      <c r="D10" s="12">
        <v>43648</v>
      </c>
      <c r="E10" s="12">
        <v>43649</v>
      </c>
      <c r="F10" s="12">
        <v>43649</v>
      </c>
      <c r="G10" s="11" t="s">
        <v>30</v>
      </c>
      <c r="H10" s="11" t="s">
        <v>31</v>
      </c>
    </row>
    <row r="11" spans="1:8" ht="18" x14ac:dyDescent="0.2">
      <c r="A11" s="11" t="s">
        <v>46</v>
      </c>
      <c r="B11" s="12">
        <v>43287</v>
      </c>
      <c r="C11" s="11" t="s">
        <v>47</v>
      </c>
      <c r="D11" s="12">
        <v>43293</v>
      </c>
      <c r="E11" s="12">
        <v>43294</v>
      </c>
      <c r="F11" s="12">
        <v>43294</v>
      </c>
      <c r="G11" s="11" t="s">
        <v>30</v>
      </c>
      <c r="H11" s="11" t="s">
        <v>31</v>
      </c>
    </row>
    <row r="13" spans="1:8" ht="18" x14ac:dyDescent="0.2">
      <c r="A13">
        <v>2024</v>
      </c>
      <c r="B13" s="13">
        <v>3.08</v>
      </c>
      <c r="C13" s="16">
        <f t="shared" ref="C13:C18" si="0">B13/B14-1</f>
        <v>5.2219321148825326E-3</v>
      </c>
      <c r="E13" s="6">
        <f>AVERAGE(C13:C19)</f>
        <v>3.6248967806007899E-2</v>
      </c>
    </row>
    <row r="14" spans="1:8" x14ac:dyDescent="0.2">
      <c r="A14">
        <v>2023</v>
      </c>
      <c r="B14">
        <v>3.0640000000000001</v>
      </c>
      <c r="C14" s="16">
        <f t="shared" si="0"/>
        <v>9.5551894563425943E-3</v>
      </c>
    </row>
    <row r="15" spans="1:8" x14ac:dyDescent="0.2">
      <c r="A15">
        <v>2022</v>
      </c>
      <c r="B15">
        <v>3.0350000000000001</v>
      </c>
      <c r="C15" s="16">
        <f t="shared" si="0"/>
        <v>3.4776679168087465E-2</v>
      </c>
    </row>
    <row r="16" spans="1:8" x14ac:dyDescent="0.2">
      <c r="A16">
        <v>2021</v>
      </c>
      <c r="B16">
        <v>2.9329999999999998</v>
      </c>
      <c r="C16" s="16">
        <f t="shared" si="0"/>
        <v>0.10263157894736841</v>
      </c>
    </row>
    <row r="17" spans="1:3" x14ac:dyDescent="0.2">
      <c r="A17">
        <v>2020</v>
      </c>
      <c r="B17">
        <v>2.66</v>
      </c>
      <c r="C17" s="16">
        <f t="shared" si="0"/>
        <v>1.2176560121765601E-2</v>
      </c>
    </row>
    <row r="18" spans="1:3" x14ac:dyDescent="0.2">
      <c r="A18">
        <v>2019</v>
      </c>
      <c r="B18">
        <v>2.6280000000000001</v>
      </c>
      <c r="C18" s="16">
        <f t="shared" si="0"/>
        <v>4.8683160415004201E-2</v>
      </c>
    </row>
    <row r="19" spans="1:3" x14ac:dyDescent="0.2">
      <c r="A19">
        <v>2018</v>
      </c>
      <c r="B19">
        <v>2.5059999999999998</v>
      </c>
      <c r="C19" s="16">
        <f>B19/B20-1</f>
        <v>4.0697674418604501E-2</v>
      </c>
    </row>
    <row r="20" spans="1:3" x14ac:dyDescent="0.2">
      <c r="A20">
        <v>2017</v>
      </c>
      <c r="B20">
        <v>2.4079999999999999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3CDA-C516-E041-88EB-13F2C14F005F}">
  <dimension ref="A1:J20"/>
  <sheetViews>
    <sheetView topLeftCell="A3" zoomScale="200" zoomScaleNormal="200" workbookViewId="0">
      <selection activeCell="A13" sqref="A13:A20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10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10" ht="18" x14ac:dyDescent="0.2">
      <c r="A2" s="11" t="s">
        <v>23</v>
      </c>
      <c r="B2" s="12">
        <v>45899</v>
      </c>
      <c r="C2" s="11">
        <v>1.1950000000000001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  <c r="J2" s="11">
        <v>1.1950000000000001</v>
      </c>
    </row>
    <row r="3" spans="1:10" ht="18" x14ac:dyDescent="0.2">
      <c r="A3" s="11" t="s">
        <v>28</v>
      </c>
      <c r="B3" s="12">
        <v>45847</v>
      </c>
      <c r="C3" s="11">
        <v>1.2549999999999999</v>
      </c>
      <c r="D3" s="12">
        <v>45854</v>
      </c>
      <c r="E3" s="12">
        <v>45855</v>
      </c>
      <c r="F3" s="12">
        <v>45855</v>
      </c>
      <c r="G3" s="11" t="s">
        <v>30</v>
      </c>
      <c r="H3" s="11" t="s">
        <v>31</v>
      </c>
      <c r="J3" s="11">
        <v>1.2549999999999999</v>
      </c>
    </row>
    <row r="4" spans="1:10" ht="18" x14ac:dyDescent="0.2">
      <c r="A4" s="11" t="s">
        <v>32</v>
      </c>
      <c r="B4" s="12">
        <v>45656</v>
      </c>
      <c r="C4" s="11">
        <v>1.1639999999999999</v>
      </c>
      <c r="D4" s="12">
        <v>45664</v>
      </c>
      <c r="E4" s="12">
        <v>45665</v>
      </c>
      <c r="F4" s="12">
        <v>45665</v>
      </c>
      <c r="G4" s="11" t="s">
        <v>30</v>
      </c>
      <c r="H4" s="11" t="s">
        <v>31</v>
      </c>
      <c r="J4" s="11">
        <v>1.1639999999999999</v>
      </c>
    </row>
    <row r="5" spans="1:10" ht="18" x14ac:dyDescent="0.2">
      <c r="A5" s="11" t="s">
        <v>34</v>
      </c>
      <c r="B5" s="12">
        <v>45442</v>
      </c>
      <c r="C5" s="11">
        <v>2.3090000000000002</v>
      </c>
      <c r="D5" s="12">
        <v>45449</v>
      </c>
      <c r="E5" s="12">
        <v>45450</v>
      </c>
      <c r="F5" s="12">
        <v>45450</v>
      </c>
      <c r="G5" s="11" t="s">
        <v>30</v>
      </c>
      <c r="H5" s="11" t="s">
        <v>31</v>
      </c>
      <c r="J5" s="11">
        <v>2.3090000000000002</v>
      </c>
    </row>
    <row r="6" spans="1:10" ht="18" x14ac:dyDescent="0.2">
      <c r="A6" s="11" t="s">
        <v>36</v>
      </c>
      <c r="B6" s="12">
        <v>45117</v>
      </c>
      <c r="C6" s="11">
        <v>2.222</v>
      </c>
      <c r="D6" s="12">
        <v>45124</v>
      </c>
      <c r="E6" s="12">
        <v>45125</v>
      </c>
      <c r="F6" s="12">
        <v>45125</v>
      </c>
      <c r="G6" s="11" t="s">
        <v>30</v>
      </c>
      <c r="H6" s="11" t="s">
        <v>31</v>
      </c>
      <c r="J6" s="11">
        <v>2.222</v>
      </c>
    </row>
    <row r="7" spans="1:10" ht="18" x14ac:dyDescent="0.2">
      <c r="A7" s="11" t="s">
        <v>38</v>
      </c>
      <c r="B7" s="12">
        <v>44750</v>
      </c>
      <c r="C7" s="11">
        <v>2.0680000000000001</v>
      </c>
      <c r="D7" s="12">
        <v>44756</v>
      </c>
      <c r="E7" s="12">
        <v>44757</v>
      </c>
      <c r="F7" s="12">
        <v>44757</v>
      </c>
      <c r="G7" s="11" t="s">
        <v>30</v>
      </c>
      <c r="H7" s="11" t="s">
        <v>31</v>
      </c>
      <c r="J7" s="11">
        <v>2.0680000000000001</v>
      </c>
    </row>
    <row r="8" spans="1:10" ht="18" x14ac:dyDescent="0.2">
      <c r="A8" s="11" t="s">
        <v>40</v>
      </c>
      <c r="B8" s="12">
        <v>44355</v>
      </c>
      <c r="C8" s="11">
        <v>1.851</v>
      </c>
      <c r="D8" s="12">
        <v>44363</v>
      </c>
      <c r="E8" s="12">
        <v>44364</v>
      </c>
      <c r="F8" s="12">
        <v>44364</v>
      </c>
      <c r="G8" s="11" t="s">
        <v>30</v>
      </c>
      <c r="H8" s="11" t="s">
        <v>31</v>
      </c>
      <c r="J8" s="11">
        <v>1.851</v>
      </c>
    </row>
    <row r="9" spans="1:10" ht="18" x14ac:dyDescent="0.2">
      <c r="A9" s="11" t="s">
        <v>42</v>
      </c>
      <c r="B9" s="12">
        <v>44018</v>
      </c>
      <c r="C9" s="11">
        <v>1.819</v>
      </c>
      <c r="D9" s="12">
        <v>44021</v>
      </c>
      <c r="E9" s="12">
        <v>44022</v>
      </c>
      <c r="F9" s="12">
        <v>44022</v>
      </c>
      <c r="G9" s="11" t="s">
        <v>30</v>
      </c>
      <c r="H9" s="11" t="s">
        <v>31</v>
      </c>
      <c r="J9" s="11">
        <v>1.819</v>
      </c>
    </row>
    <row r="10" spans="1:10" ht="18" x14ac:dyDescent="0.2">
      <c r="A10" s="11" t="s">
        <v>44</v>
      </c>
      <c r="B10" s="12">
        <v>43627</v>
      </c>
      <c r="C10" s="11">
        <v>1.7390000000000001</v>
      </c>
      <c r="D10" s="12">
        <v>43634</v>
      </c>
      <c r="E10" s="12">
        <v>43635</v>
      </c>
      <c r="F10" s="12">
        <v>43635</v>
      </c>
      <c r="G10" s="11" t="s">
        <v>30</v>
      </c>
      <c r="H10" s="11" t="s">
        <v>31</v>
      </c>
      <c r="J10" s="11">
        <v>1.7390000000000001</v>
      </c>
    </row>
    <row r="11" spans="1:10" ht="18" x14ac:dyDescent="0.2">
      <c r="A11" s="11" t="s">
        <v>46</v>
      </c>
      <c r="B11" s="12">
        <v>43239</v>
      </c>
      <c r="C11" s="11">
        <v>1.7829999999999999</v>
      </c>
      <c r="D11" s="12">
        <v>43244</v>
      </c>
      <c r="E11" s="12">
        <v>43245</v>
      </c>
      <c r="F11" s="12">
        <v>43245</v>
      </c>
      <c r="G11" s="11" t="s">
        <v>30</v>
      </c>
      <c r="H11" s="11" t="s">
        <v>31</v>
      </c>
      <c r="J11" s="11">
        <v>1.7829999999999999</v>
      </c>
    </row>
    <row r="13" spans="1:10" x14ac:dyDescent="0.2">
      <c r="A13">
        <v>2024</v>
      </c>
      <c r="B13">
        <f>C3+C4</f>
        <v>2.4189999999999996</v>
      </c>
      <c r="C13" s="16">
        <f t="shared" ref="C13:C18" si="0">B13/B14-1</f>
        <v>4.7639670853182992E-2</v>
      </c>
      <c r="E13" s="6">
        <f>AVERAGE(C13:C19)</f>
        <v>4.5344803280578869E-2</v>
      </c>
    </row>
    <row r="14" spans="1:10" x14ac:dyDescent="0.2">
      <c r="A14">
        <v>2023</v>
      </c>
      <c r="B14">
        <f>C5</f>
        <v>2.3090000000000002</v>
      </c>
      <c r="C14" s="16">
        <f t="shared" si="0"/>
        <v>3.9153915391539229E-2</v>
      </c>
    </row>
    <row r="15" spans="1:10" x14ac:dyDescent="0.2">
      <c r="A15">
        <v>2022</v>
      </c>
      <c r="B15">
        <f t="shared" ref="B15:B20" si="1">C6</f>
        <v>2.222</v>
      </c>
      <c r="C15" s="16">
        <f t="shared" si="0"/>
        <v>7.4468085106383031E-2</v>
      </c>
    </row>
    <row r="16" spans="1:10" x14ac:dyDescent="0.2">
      <c r="A16">
        <v>2021</v>
      </c>
      <c r="B16">
        <f t="shared" si="1"/>
        <v>2.0680000000000001</v>
      </c>
      <c r="C16" s="16">
        <f t="shared" si="0"/>
        <v>0.11723392760669915</v>
      </c>
    </row>
    <row r="17" spans="1:3" x14ac:dyDescent="0.2">
      <c r="A17">
        <v>2020</v>
      </c>
      <c r="B17">
        <f t="shared" si="1"/>
        <v>1.851</v>
      </c>
      <c r="C17" s="16">
        <f t="shared" si="0"/>
        <v>1.7592083562396832E-2</v>
      </c>
    </row>
    <row r="18" spans="1:3" x14ac:dyDescent="0.2">
      <c r="A18">
        <v>2019</v>
      </c>
      <c r="B18">
        <f t="shared" si="1"/>
        <v>1.819</v>
      </c>
      <c r="C18" s="16">
        <f t="shared" si="0"/>
        <v>4.6003450258769396E-2</v>
      </c>
    </row>
    <row r="19" spans="1:3" x14ac:dyDescent="0.2">
      <c r="A19">
        <v>2018</v>
      </c>
      <c r="B19">
        <f t="shared" si="1"/>
        <v>1.7390000000000001</v>
      </c>
      <c r="C19" s="16">
        <f>B19/B20-1</f>
        <v>-2.4677509814918563E-2</v>
      </c>
    </row>
    <row r="20" spans="1:3" x14ac:dyDescent="0.2">
      <c r="A20">
        <v>2017</v>
      </c>
      <c r="B20">
        <f t="shared" si="1"/>
        <v>1.7829999999999999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978A-0678-0647-8B16-D272739248B2}">
  <dimension ref="A1:H20"/>
  <sheetViews>
    <sheetView zoomScale="135" workbookViewId="0">
      <selection activeCell="B14" sqref="B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45899</v>
      </c>
      <c r="C2" s="11">
        <v>1.8580000000000001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45777</v>
      </c>
      <c r="C3" s="11">
        <v>2.06</v>
      </c>
      <c r="D3" s="12">
        <v>45785</v>
      </c>
      <c r="E3" s="12">
        <v>45786</v>
      </c>
      <c r="F3" s="12">
        <v>45786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45660</v>
      </c>
      <c r="C4" s="11">
        <v>1.97</v>
      </c>
      <c r="D4" s="12">
        <v>45666</v>
      </c>
      <c r="E4" s="12">
        <v>45667</v>
      </c>
      <c r="F4" s="12">
        <v>45667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45479</v>
      </c>
      <c r="C5" s="11">
        <v>4</v>
      </c>
      <c r="D5" s="12">
        <v>45484</v>
      </c>
      <c r="E5" s="12">
        <v>45485</v>
      </c>
      <c r="F5" s="12">
        <v>45485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45115</v>
      </c>
      <c r="C6" s="11">
        <v>3.89</v>
      </c>
      <c r="D6" s="12">
        <v>45120</v>
      </c>
      <c r="E6" s="12">
        <v>45121</v>
      </c>
      <c r="F6" s="12">
        <v>45121</v>
      </c>
      <c r="G6" s="11" t="s">
        <v>30</v>
      </c>
      <c r="H6" s="11" t="s">
        <v>31</v>
      </c>
    </row>
    <row r="7" spans="1:8" ht="18" x14ac:dyDescent="0.2">
      <c r="A7" s="11" t="s">
        <v>38</v>
      </c>
      <c r="B7" s="12">
        <v>44743</v>
      </c>
      <c r="C7" s="11">
        <v>3.64</v>
      </c>
      <c r="D7" s="12">
        <v>44749</v>
      </c>
      <c r="E7" s="12">
        <v>44750</v>
      </c>
      <c r="F7" s="12">
        <v>44750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44384</v>
      </c>
      <c r="C8" s="11">
        <v>3.26</v>
      </c>
      <c r="D8" s="12">
        <v>44391</v>
      </c>
      <c r="E8" s="12">
        <v>44392</v>
      </c>
      <c r="F8" s="12">
        <v>44392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44014</v>
      </c>
      <c r="C9" s="11">
        <v>3.2</v>
      </c>
      <c r="D9" s="12">
        <v>44021</v>
      </c>
      <c r="E9" s="12">
        <v>44022</v>
      </c>
      <c r="F9" s="12">
        <v>44022</v>
      </c>
      <c r="G9" s="11" t="s">
        <v>30</v>
      </c>
      <c r="H9" s="11" t="s">
        <v>31</v>
      </c>
    </row>
    <row r="10" spans="1:8" ht="18" x14ac:dyDescent="0.2">
      <c r="A10" s="11" t="s">
        <v>44</v>
      </c>
      <c r="B10" s="12">
        <v>43648</v>
      </c>
      <c r="C10" s="11">
        <v>3.06</v>
      </c>
      <c r="D10" s="12">
        <v>43655</v>
      </c>
      <c r="E10" s="12">
        <v>43656</v>
      </c>
      <c r="F10" s="12">
        <v>43656</v>
      </c>
      <c r="G10" s="11" t="s">
        <v>30</v>
      </c>
      <c r="H10" s="11" t="s">
        <v>31</v>
      </c>
    </row>
    <row r="11" spans="1:8" ht="18" x14ac:dyDescent="0.2">
      <c r="A11" s="11" t="s">
        <v>46</v>
      </c>
      <c r="B11" s="12">
        <v>43291</v>
      </c>
      <c r="C11" s="11">
        <v>2.91</v>
      </c>
      <c r="D11" s="12">
        <v>43297</v>
      </c>
      <c r="E11" s="12">
        <v>43298</v>
      </c>
      <c r="F11" s="12">
        <v>43298</v>
      </c>
      <c r="G11" s="11" t="s">
        <v>30</v>
      </c>
      <c r="H11" s="11" t="s">
        <v>31</v>
      </c>
    </row>
    <row r="13" spans="1:8" x14ac:dyDescent="0.2">
      <c r="A13">
        <v>2024</v>
      </c>
      <c r="B13">
        <f>C4+C3</f>
        <v>4.03</v>
      </c>
      <c r="C13" s="16">
        <f t="shared" ref="C13:C18" si="0">B13/B14-1</f>
        <v>7.5000000000000622E-3</v>
      </c>
      <c r="E13" s="6">
        <f>AVERAGE(C13:C19)</f>
        <v>4.8153056651453988E-2</v>
      </c>
    </row>
    <row r="14" spans="1:8" x14ac:dyDescent="0.2">
      <c r="A14">
        <v>2023</v>
      </c>
      <c r="B14">
        <f>C5</f>
        <v>4</v>
      </c>
      <c r="C14" s="16">
        <f t="shared" si="0"/>
        <v>2.8277634961439535E-2</v>
      </c>
    </row>
    <row r="15" spans="1:8" x14ac:dyDescent="0.2">
      <c r="A15">
        <v>2022</v>
      </c>
      <c r="B15">
        <f t="shared" ref="B15:B20" si="1">C6</f>
        <v>3.89</v>
      </c>
      <c r="C15" s="16">
        <f t="shared" si="0"/>
        <v>6.8681318681318659E-2</v>
      </c>
    </row>
    <row r="16" spans="1:8" x14ac:dyDescent="0.2">
      <c r="A16">
        <v>2021</v>
      </c>
      <c r="B16">
        <f t="shared" si="1"/>
        <v>3.64</v>
      </c>
      <c r="C16" s="16">
        <f t="shared" si="0"/>
        <v>0.11656441717791433</v>
      </c>
    </row>
    <row r="17" spans="1:3" x14ac:dyDescent="0.2">
      <c r="A17">
        <v>2020</v>
      </c>
      <c r="B17">
        <f t="shared" si="1"/>
        <v>3.26</v>
      </c>
      <c r="C17" s="16">
        <f t="shared" si="0"/>
        <v>1.8749999999999822E-2</v>
      </c>
    </row>
    <row r="18" spans="1:3" x14ac:dyDescent="0.2">
      <c r="A18">
        <v>2019</v>
      </c>
      <c r="B18">
        <f t="shared" si="1"/>
        <v>3.2</v>
      </c>
      <c r="C18" s="16">
        <f t="shared" si="0"/>
        <v>4.5751633986928164E-2</v>
      </c>
    </row>
    <row r="19" spans="1:3" x14ac:dyDescent="0.2">
      <c r="A19">
        <v>2018</v>
      </c>
      <c r="B19">
        <f t="shared" si="1"/>
        <v>3.06</v>
      </c>
      <c r="C19" s="16">
        <f>B19/B20-1</f>
        <v>5.1546391752577359E-2</v>
      </c>
    </row>
    <row r="20" spans="1:3" x14ac:dyDescent="0.2">
      <c r="A20">
        <v>2017</v>
      </c>
      <c r="B20">
        <f t="shared" si="1"/>
        <v>2.91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3497-9A77-B443-BDBF-C78B22A88BB9}">
  <dimension ref="A1:H21"/>
  <sheetViews>
    <sheetView topLeftCell="A2" zoomScale="173" workbookViewId="0">
      <selection activeCell="C14" sqref="C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45899</v>
      </c>
      <c r="C2" s="11">
        <v>1.0940000000000001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45768</v>
      </c>
      <c r="C3" s="11">
        <v>1.216</v>
      </c>
      <c r="D3" s="12">
        <v>45771</v>
      </c>
      <c r="E3" s="12">
        <v>45772</v>
      </c>
      <c r="F3" s="12">
        <v>45772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45672</v>
      </c>
      <c r="C4" s="11">
        <v>1.208</v>
      </c>
      <c r="D4" s="12">
        <v>45679</v>
      </c>
      <c r="E4" s="12">
        <v>45680</v>
      </c>
      <c r="F4" s="12">
        <v>45680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45483</v>
      </c>
      <c r="C5" s="11">
        <v>2.3639999999999999</v>
      </c>
      <c r="D5" s="12">
        <v>45489</v>
      </c>
      <c r="E5" s="12">
        <v>45490</v>
      </c>
      <c r="F5" s="12">
        <v>45490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45115</v>
      </c>
      <c r="C6" s="11">
        <v>2.3199999999999998</v>
      </c>
      <c r="D6" s="12">
        <v>45121</v>
      </c>
      <c r="E6" s="12">
        <v>45124</v>
      </c>
      <c r="F6" s="12">
        <v>45124</v>
      </c>
      <c r="G6" s="11" t="s">
        <v>30</v>
      </c>
      <c r="H6" s="11" t="s">
        <v>27</v>
      </c>
    </row>
    <row r="7" spans="1:8" ht="18" x14ac:dyDescent="0.2">
      <c r="A7" s="11" t="s">
        <v>38</v>
      </c>
      <c r="B7" s="12">
        <v>44750</v>
      </c>
      <c r="C7" s="11">
        <v>2.21</v>
      </c>
      <c r="D7" s="12">
        <v>44756</v>
      </c>
      <c r="E7" s="12">
        <v>44757</v>
      </c>
      <c r="F7" s="12">
        <v>44757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44344</v>
      </c>
      <c r="C8" s="11">
        <v>1.97</v>
      </c>
      <c r="D8" s="12">
        <v>44350</v>
      </c>
      <c r="E8" s="12">
        <v>44351</v>
      </c>
      <c r="F8" s="12">
        <v>44351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44020</v>
      </c>
      <c r="C9" s="11">
        <v>1.91</v>
      </c>
      <c r="D9" s="12">
        <v>44026</v>
      </c>
      <c r="E9" s="12">
        <v>44027</v>
      </c>
      <c r="F9" s="12">
        <v>44027</v>
      </c>
      <c r="G9" s="11" t="s">
        <v>30</v>
      </c>
      <c r="H9" s="11" t="s">
        <v>31</v>
      </c>
    </row>
    <row r="10" spans="1:8" ht="18" x14ac:dyDescent="0.2">
      <c r="A10" s="11" t="s">
        <v>44</v>
      </c>
      <c r="B10" s="12">
        <v>43610</v>
      </c>
      <c r="C10" s="11">
        <v>1.84</v>
      </c>
      <c r="D10" s="12">
        <v>43616</v>
      </c>
      <c r="E10" s="12">
        <v>43619</v>
      </c>
      <c r="F10" s="12">
        <v>43619</v>
      </c>
      <c r="G10" s="11" t="s">
        <v>30</v>
      </c>
      <c r="H10" s="11" t="s">
        <v>31</v>
      </c>
    </row>
    <row r="11" spans="1:8" ht="18" x14ac:dyDescent="0.2">
      <c r="A11" s="11" t="s">
        <v>46</v>
      </c>
      <c r="B11" s="12">
        <v>43287</v>
      </c>
      <c r="C11" s="11">
        <v>1.76</v>
      </c>
      <c r="D11" s="12">
        <v>43293</v>
      </c>
      <c r="E11" s="12">
        <v>43294</v>
      </c>
      <c r="F11" s="12">
        <v>43294</v>
      </c>
      <c r="G11" s="11" t="s">
        <v>30</v>
      </c>
      <c r="H11" s="11" t="s">
        <v>31</v>
      </c>
    </row>
    <row r="12" spans="1:8" x14ac:dyDescent="0.2">
      <c r="G12" s="18"/>
    </row>
    <row r="14" spans="1:8" x14ac:dyDescent="0.2">
      <c r="A14">
        <v>2024</v>
      </c>
      <c r="B14">
        <f>C3+C4</f>
        <v>2.4239999999999999</v>
      </c>
      <c r="C14" s="16">
        <f t="shared" ref="C14:C19" si="0">B14/B15-1</f>
        <v>2.5380710659898442E-2</v>
      </c>
      <c r="E14" s="6">
        <f>AVERAGE(C14:C20)</f>
        <v>4.726557585796555E-2</v>
      </c>
    </row>
    <row r="15" spans="1:8" x14ac:dyDescent="0.2">
      <c r="A15">
        <v>2023</v>
      </c>
      <c r="B15">
        <f>C5</f>
        <v>2.3639999999999999</v>
      </c>
      <c r="C15" s="16">
        <f t="shared" si="0"/>
        <v>1.8965517241379404E-2</v>
      </c>
    </row>
    <row r="16" spans="1:8" x14ac:dyDescent="0.2">
      <c r="A16">
        <v>2022</v>
      </c>
      <c r="B16">
        <f t="shared" ref="B16:B21" si="1">C6</f>
        <v>2.3199999999999998</v>
      </c>
      <c r="C16" s="16">
        <f t="shared" si="0"/>
        <v>4.9773755656108642E-2</v>
      </c>
    </row>
    <row r="17" spans="1:3" x14ac:dyDescent="0.2">
      <c r="A17">
        <v>2021</v>
      </c>
      <c r="B17">
        <f t="shared" si="1"/>
        <v>2.21</v>
      </c>
      <c r="C17" s="16">
        <f t="shared" si="0"/>
        <v>0.12182741116751261</v>
      </c>
    </row>
    <row r="18" spans="1:3" x14ac:dyDescent="0.2">
      <c r="A18">
        <v>2020</v>
      </c>
      <c r="B18">
        <f t="shared" si="1"/>
        <v>1.97</v>
      </c>
      <c r="C18" s="16">
        <f t="shared" si="0"/>
        <v>3.1413612565444948E-2</v>
      </c>
    </row>
    <row r="19" spans="1:3" x14ac:dyDescent="0.2">
      <c r="A19">
        <v>2019</v>
      </c>
      <c r="B19">
        <f t="shared" si="1"/>
        <v>1.91</v>
      </c>
      <c r="C19" s="16">
        <f t="shared" si="0"/>
        <v>3.8043478260869401E-2</v>
      </c>
    </row>
    <row r="20" spans="1:3" x14ac:dyDescent="0.2">
      <c r="A20">
        <v>2018</v>
      </c>
      <c r="B20">
        <f t="shared" si="1"/>
        <v>1.84</v>
      </c>
      <c r="C20" s="16">
        <f>B20/B21-1</f>
        <v>4.5454545454545414E-2</v>
      </c>
    </row>
    <row r="21" spans="1:3" x14ac:dyDescent="0.2">
      <c r="A21">
        <v>2017</v>
      </c>
      <c r="B21">
        <f t="shared" si="1"/>
        <v>1.76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AE08-7CF9-724B-8465-5201DBEC737F}">
  <dimension ref="A1:H23"/>
  <sheetViews>
    <sheetView zoomScale="150" workbookViewId="0">
      <selection activeCell="D14" sqref="D14"/>
    </sheetView>
  </sheetViews>
  <sheetFormatPr baseColWidth="10" defaultRowHeight="16" x14ac:dyDescent="0.2"/>
  <cols>
    <col min="1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28</v>
      </c>
      <c r="B2" s="12">
        <v>45842</v>
      </c>
      <c r="C2" s="11">
        <v>20</v>
      </c>
      <c r="D2" s="12">
        <v>45848</v>
      </c>
      <c r="E2" s="12">
        <v>45849</v>
      </c>
      <c r="F2" s="12">
        <v>45849</v>
      </c>
      <c r="G2" s="11" t="s">
        <v>30</v>
      </c>
      <c r="H2" s="11" t="s">
        <v>31</v>
      </c>
    </row>
    <row r="3" spans="1:8" ht="18" x14ac:dyDescent="0.2">
      <c r="A3" s="11" t="s">
        <v>34</v>
      </c>
      <c r="B3" s="12">
        <v>45477</v>
      </c>
      <c r="C3" s="11">
        <v>19.72</v>
      </c>
      <c r="D3" s="12">
        <v>45483</v>
      </c>
      <c r="E3" s="12">
        <v>45484</v>
      </c>
      <c r="F3" s="12">
        <v>45484</v>
      </c>
      <c r="G3" s="11" t="s">
        <v>30</v>
      </c>
      <c r="H3" s="11" t="s">
        <v>31</v>
      </c>
    </row>
    <row r="4" spans="1:8" ht="18" x14ac:dyDescent="0.2">
      <c r="A4" s="11" t="s">
        <v>36</v>
      </c>
      <c r="B4" s="12">
        <v>45113</v>
      </c>
      <c r="C4" s="11">
        <v>17.38</v>
      </c>
      <c r="D4" s="12">
        <v>45119</v>
      </c>
      <c r="E4" s="12">
        <v>45120</v>
      </c>
      <c r="F4" s="12">
        <v>45120</v>
      </c>
      <c r="G4" s="11" t="s">
        <v>30</v>
      </c>
      <c r="H4" s="11" t="s">
        <v>31</v>
      </c>
    </row>
    <row r="5" spans="1:8" ht="18" x14ac:dyDescent="0.2">
      <c r="A5" s="11" t="s">
        <v>38</v>
      </c>
      <c r="B5" s="12">
        <v>44750</v>
      </c>
      <c r="C5" s="11">
        <v>15.22</v>
      </c>
      <c r="D5" s="12">
        <v>44756</v>
      </c>
      <c r="E5" s="12">
        <v>44757</v>
      </c>
      <c r="F5" s="12">
        <v>44757</v>
      </c>
      <c r="G5" s="11" t="s">
        <v>30</v>
      </c>
      <c r="H5" s="11" t="s">
        <v>31</v>
      </c>
    </row>
    <row r="6" spans="1:8" ht="18" x14ac:dyDescent="0.2">
      <c r="A6" s="11" t="s">
        <v>40</v>
      </c>
      <c r="B6" s="12">
        <v>44383</v>
      </c>
      <c r="C6" s="11">
        <v>12.53</v>
      </c>
      <c r="D6" s="12">
        <v>44389</v>
      </c>
      <c r="E6" s="12">
        <v>44390</v>
      </c>
      <c r="F6" s="12">
        <v>44390</v>
      </c>
      <c r="G6" s="11" t="s">
        <v>30</v>
      </c>
      <c r="H6" s="11" t="s">
        <v>31</v>
      </c>
    </row>
    <row r="7" spans="1:8" ht="18" x14ac:dyDescent="0.2">
      <c r="A7" s="11" t="s">
        <v>42</v>
      </c>
      <c r="B7" s="12">
        <v>44015</v>
      </c>
      <c r="C7" s="11">
        <v>12</v>
      </c>
      <c r="D7" s="12">
        <v>44021</v>
      </c>
      <c r="E7" s="12">
        <v>44022</v>
      </c>
      <c r="F7" s="12">
        <v>44022</v>
      </c>
      <c r="G7" s="11" t="s">
        <v>30</v>
      </c>
      <c r="H7" s="11" t="s">
        <v>31</v>
      </c>
    </row>
    <row r="8" spans="1:8" ht="18" x14ac:dyDescent="0.2">
      <c r="A8" s="11" t="s">
        <v>44</v>
      </c>
      <c r="B8" s="12">
        <v>43651</v>
      </c>
      <c r="C8" s="11">
        <v>9.4</v>
      </c>
      <c r="D8" s="12">
        <v>43657</v>
      </c>
      <c r="E8" s="12">
        <v>43658</v>
      </c>
      <c r="F8" s="12">
        <v>43658</v>
      </c>
      <c r="G8" s="11" t="s">
        <v>30</v>
      </c>
      <c r="H8" s="11" t="s">
        <v>31</v>
      </c>
    </row>
    <row r="9" spans="1:8" ht="18" x14ac:dyDescent="0.2">
      <c r="A9" s="11" t="s">
        <v>46</v>
      </c>
      <c r="B9" s="12">
        <v>43286</v>
      </c>
      <c r="C9" s="11">
        <v>8.4</v>
      </c>
      <c r="D9" s="12">
        <v>43292</v>
      </c>
      <c r="E9" s="12">
        <v>43293</v>
      </c>
      <c r="F9" s="12">
        <v>43293</v>
      </c>
      <c r="G9" s="11" t="s">
        <v>30</v>
      </c>
      <c r="H9" s="11" t="s">
        <v>31</v>
      </c>
    </row>
    <row r="10" spans="1:8" ht="18" x14ac:dyDescent="0.2">
      <c r="A10" s="11" t="s">
        <v>48</v>
      </c>
      <c r="B10" s="12">
        <v>42892</v>
      </c>
      <c r="C10" s="11">
        <v>7.4</v>
      </c>
      <c r="D10" s="12">
        <v>42899</v>
      </c>
      <c r="E10" s="12">
        <v>42900</v>
      </c>
      <c r="F10" s="12">
        <v>42900</v>
      </c>
      <c r="G10" s="11" t="s">
        <v>30</v>
      </c>
      <c r="H10" s="11" t="s">
        <v>31</v>
      </c>
    </row>
    <row r="11" spans="1:8" ht="18" x14ac:dyDescent="0.2">
      <c r="A11" s="11" t="s">
        <v>49</v>
      </c>
      <c r="B11" s="12">
        <v>42556</v>
      </c>
      <c r="C11" s="11">
        <v>6.9</v>
      </c>
      <c r="D11" s="12">
        <v>42563</v>
      </c>
      <c r="E11" s="12">
        <v>42564</v>
      </c>
      <c r="F11" s="12">
        <v>42564</v>
      </c>
      <c r="G11" s="11" t="s">
        <v>30</v>
      </c>
      <c r="H11" s="11" t="s">
        <v>31</v>
      </c>
    </row>
    <row r="14" spans="1:8" x14ac:dyDescent="0.2">
      <c r="A14">
        <v>2024</v>
      </c>
      <c r="B14">
        <f>C2</f>
        <v>20</v>
      </c>
      <c r="C14" s="15">
        <f t="shared" ref="C14:C21" si="0">B14/B15-1</f>
        <v>1.4198782961460488E-2</v>
      </c>
      <c r="E14" s="19">
        <f>AVERAGE(C14:C22)</f>
        <v>0.12809427953650243</v>
      </c>
    </row>
    <row r="15" spans="1:8" x14ac:dyDescent="0.2">
      <c r="A15">
        <v>2023</v>
      </c>
      <c r="B15">
        <f t="shared" ref="B15:B23" si="1">C3</f>
        <v>19.72</v>
      </c>
      <c r="C15" s="15">
        <f t="shared" si="0"/>
        <v>0.1346375143843499</v>
      </c>
    </row>
    <row r="16" spans="1:8" x14ac:dyDescent="0.2">
      <c r="A16">
        <v>2022</v>
      </c>
      <c r="B16">
        <f t="shared" si="1"/>
        <v>17.38</v>
      </c>
      <c r="C16" s="15">
        <f t="shared" si="0"/>
        <v>0.14191852825229945</v>
      </c>
    </row>
    <row r="17" spans="1:3" x14ac:dyDescent="0.2">
      <c r="A17">
        <v>2021</v>
      </c>
      <c r="B17">
        <f t="shared" si="1"/>
        <v>15.22</v>
      </c>
      <c r="C17" s="15">
        <f t="shared" si="0"/>
        <v>0.21468475658419806</v>
      </c>
    </row>
    <row r="18" spans="1:3" x14ac:dyDescent="0.2">
      <c r="A18">
        <v>2020</v>
      </c>
      <c r="B18">
        <f t="shared" si="1"/>
        <v>12.53</v>
      </c>
      <c r="C18" s="15">
        <f t="shared" si="0"/>
        <v>4.4166666666666687E-2</v>
      </c>
    </row>
    <row r="19" spans="1:3" x14ac:dyDescent="0.2">
      <c r="A19">
        <v>2019</v>
      </c>
      <c r="B19">
        <f t="shared" si="1"/>
        <v>12</v>
      </c>
      <c r="C19" s="15">
        <f t="shared" si="0"/>
        <v>0.27659574468085091</v>
      </c>
    </row>
    <row r="20" spans="1:3" x14ac:dyDescent="0.2">
      <c r="A20">
        <v>2018</v>
      </c>
      <c r="B20">
        <f t="shared" si="1"/>
        <v>9.4</v>
      </c>
      <c r="C20" s="15">
        <f t="shared" si="0"/>
        <v>0.11904761904761907</v>
      </c>
    </row>
    <row r="21" spans="1:3" x14ac:dyDescent="0.2">
      <c r="A21">
        <v>2017</v>
      </c>
      <c r="B21">
        <f t="shared" si="1"/>
        <v>8.4</v>
      </c>
      <c r="C21" s="15">
        <f t="shared" si="0"/>
        <v>0.13513513513513509</v>
      </c>
    </row>
    <row r="22" spans="1:3" x14ac:dyDescent="0.2">
      <c r="A22">
        <v>2016</v>
      </c>
      <c r="B22">
        <f t="shared" si="1"/>
        <v>7.4</v>
      </c>
      <c r="C22" s="15">
        <f>B22/B23-1</f>
        <v>7.2463768115942129E-2</v>
      </c>
    </row>
    <row r="23" spans="1:3" x14ac:dyDescent="0.2">
      <c r="A23">
        <v>2015</v>
      </c>
      <c r="B23">
        <f t="shared" si="1"/>
        <v>6.9</v>
      </c>
      <c r="C2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85F7-D707-AC45-905B-1F48D606E333}">
  <dimension ref="A1:H17"/>
  <sheetViews>
    <sheetView zoomScale="178" workbookViewId="0">
      <selection activeCell="B14" sqref="B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45899</v>
      </c>
      <c r="C2" s="11">
        <v>1.23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45771</v>
      </c>
      <c r="C3" s="11">
        <v>1.139</v>
      </c>
      <c r="D3" s="12">
        <v>45776</v>
      </c>
      <c r="E3" s="12">
        <v>45777</v>
      </c>
      <c r="F3" s="12">
        <v>45777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45657</v>
      </c>
      <c r="C4" s="11">
        <v>1.4770000000000001</v>
      </c>
      <c r="D4" s="12">
        <v>45664</v>
      </c>
      <c r="E4" s="12">
        <v>45665</v>
      </c>
      <c r="F4" s="12">
        <v>45665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45478</v>
      </c>
      <c r="C5" s="11">
        <v>2.61</v>
      </c>
      <c r="D5" s="12">
        <v>45483</v>
      </c>
      <c r="E5" s="12">
        <v>45484</v>
      </c>
      <c r="F5" s="12">
        <v>45484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45114</v>
      </c>
      <c r="C6" s="11">
        <v>2.5790000000000002</v>
      </c>
      <c r="D6" s="12">
        <v>45119</v>
      </c>
      <c r="E6" s="12">
        <v>45120</v>
      </c>
      <c r="F6" s="12">
        <v>45120</v>
      </c>
      <c r="G6" s="11" t="s">
        <v>30</v>
      </c>
      <c r="H6" s="11" t="s">
        <v>31</v>
      </c>
    </row>
    <row r="7" spans="1:8" ht="18" x14ac:dyDescent="0.2">
      <c r="A7" s="11" t="s">
        <v>38</v>
      </c>
      <c r="B7" s="12">
        <v>44748</v>
      </c>
      <c r="C7" s="11">
        <v>2.4740000000000002</v>
      </c>
      <c r="D7" s="12">
        <v>44753</v>
      </c>
      <c r="E7" s="12">
        <v>44754</v>
      </c>
      <c r="F7" s="12">
        <v>44754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44391</v>
      </c>
      <c r="C8" s="11">
        <v>2.085</v>
      </c>
      <c r="D8" s="12">
        <v>44398</v>
      </c>
      <c r="E8" s="12">
        <v>44399</v>
      </c>
      <c r="F8" s="12">
        <v>44399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43986</v>
      </c>
      <c r="C9" s="11">
        <v>2.1019999999999999</v>
      </c>
      <c r="D9" s="12">
        <v>43991</v>
      </c>
      <c r="E9" s="12">
        <v>43992</v>
      </c>
      <c r="F9" s="12">
        <v>43992</v>
      </c>
      <c r="G9" s="11" t="s">
        <v>30</v>
      </c>
      <c r="H9" s="11" t="s">
        <v>31</v>
      </c>
    </row>
    <row r="12" spans="1:8" x14ac:dyDescent="0.2">
      <c r="A12">
        <v>2024</v>
      </c>
      <c r="B12">
        <f>SUM(C3:C4)</f>
        <v>2.6160000000000001</v>
      </c>
      <c r="C12" s="17">
        <f t="shared" ref="C12:C15" si="0">B12/B13-1</f>
        <v>2.2988505747127963E-3</v>
      </c>
      <c r="E12" s="20">
        <f>AVERAGE(C12:C16)</f>
        <v>4.7048722322859171E-2</v>
      </c>
    </row>
    <row r="13" spans="1:8" x14ac:dyDescent="0.2">
      <c r="A13">
        <v>2023</v>
      </c>
      <c r="B13">
        <f>C5</f>
        <v>2.61</v>
      </c>
      <c r="C13" s="17">
        <f t="shared" si="0"/>
        <v>1.2020162853819238E-2</v>
      </c>
    </row>
    <row r="14" spans="1:8" x14ac:dyDescent="0.2">
      <c r="A14">
        <v>2022</v>
      </c>
      <c r="B14">
        <f t="shared" ref="B14:B17" si="1">C6</f>
        <v>2.5790000000000002</v>
      </c>
      <c r="C14" s="17">
        <f t="shared" si="0"/>
        <v>4.2441390460792316E-2</v>
      </c>
    </row>
    <row r="15" spans="1:8" x14ac:dyDescent="0.2">
      <c r="A15">
        <v>2021</v>
      </c>
      <c r="B15">
        <f t="shared" si="1"/>
        <v>2.4740000000000002</v>
      </c>
      <c r="C15" s="17">
        <f t="shared" si="0"/>
        <v>0.18657074340527591</v>
      </c>
    </row>
    <row r="16" spans="1:8" x14ac:dyDescent="0.2">
      <c r="A16">
        <v>2020</v>
      </c>
      <c r="B16">
        <f t="shared" si="1"/>
        <v>2.085</v>
      </c>
      <c r="C16" s="20">
        <f>B16/B17-1</f>
        <v>-8.087535680304403E-3</v>
      </c>
    </row>
    <row r="17" spans="1:2" x14ac:dyDescent="0.2">
      <c r="A17">
        <v>2019</v>
      </c>
      <c r="B17">
        <f t="shared" si="1"/>
        <v>2.1019999999999999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A764-F288-6844-AF69-FEC700F32D8E}">
  <dimension ref="A1:H21"/>
  <sheetViews>
    <sheetView workbookViewId="0">
      <selection activeCell="B14" sqref="B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45899</v>
      </c>
      <c r="C2" s="11">
        <v>1.5629999999999999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45761</v>
      </c>
      <c r="C3" s="11">
        <v>1.97</v>
      </c>
      <c r="D3" s="12">
        <v>45764</v>
      </c>
      <c r="E3" s="12">
        <v>45765</v>
      </c>
      <c r="F3" s="12">
        <v>45765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45673</v>
      </c>
      <c r="C4" s="11">
        <v>1.82</v>
      </c>
      <c r="D4" s="12">
        <v>45680</v>
      </c>
      <c r="E4" s="12">
        <v>45681</v>
      </c>
      <c r="F4" s="12">
        <v>45681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45477</v>
      </c>
      <c r="C5" s="11">
        <v>3.75</v>
      </c>
      <c r="D5" s="12">
        <v>45482</v>
      </c>
      <c r="E5" s="12">
        <v>45483</v>
      </c>
      <c r="F5" s="12">
        <v>45483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45113</v>
      </c>
      <c r="C6" s="11">
        <v>3.73</v>
      </c>
      <c r="D6" s="12">
        <v>45118</v>
      </c>
      <c r="E6" s="12">
        <v>45119</v>
      </c>
      <c r="F6" s="12">
        <v>45119</v>
      </c>
      <c r="G6" s="11" t="s">
        <v>30</v>
      </c>
      <c r="H6" s="11" t="s">
        <v>31</v>
      </c>
    </row>
    <row r="7" spans="1:8" ht="18" x14ac:dyDescent="0.2">
      <c r="A7" s="11" t="s">
        <v>38</v>
      </c>
      <c r="B7" s="12">
        <v>44748</v>
      </c>
      <c r="C7" s="11">
        <v>3.55</v>
      </c>
      <c r="D7" s="12">
        <v>44753</v>
      </c>
      <c r="E7" s="12">
        <v>44754</v>
      </c>
      <c r="F7" s="12">
        <v>44754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44384</v>
      </c>
      <c r="C8" s="11">
        <v>3.17</v>
      </c>
      <c r="D8" s="12">
        <v>44389</v>
      </c>
      <c r="E8" s="12">
        <v>44390</v>
      </c>
      <c r="F8" s="12">
        <v>44390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44020</v>
      </c>
      <c r="C9" s="11">
        <v>3.15</v>
      </c>
      <c r="D9" s="12">
        <v>44025</v>
      </c>
      <c r="E9" s="12">
        <v>44026</v>
      </c>
      <c r="F9" s="12">
        <v>44026</v>
      </c>
      <c r="G9" s="11" t="s">
        <v>30</v>
      </c>
      <c r="H9" s="11" t="s">
        <v>31</v>
      </c>
    </row>
    <row r="10" spans="1:8" ht="18" x14ac:dyDescent="0.2">
      <c r="A10" s="11" t="s">
        <v>44</v>
      </c>
      <c r="B10" s="12">
        <v>43648</v>
      </c>
      <c r="C10" s="11">
        <v>3</v>
      </c>
      <c r="D10" s="12">
        <v>43654</v>
      </c>
      <c r="E10" s="12">
        <v>43655</v>
      </c>
      <c r="F10" s="12">
        <v>43655</v>
      </c>
      <c r="G10" s="11" t="s">
        <v>30</v>
      </c>
      <c r="H10" s="11" t="s">
        <v>31</v>
      </c>
    </row>
    <row r="11" spans="1:8" ht="18" x14ac:dyDescent="0.2">
      <c r="A11" s="11" t="s">
        <v>46</v>
      </c>
      <c r="B11" s="12">
        <v>43291</v>
      </c>
      <c r="C11" s="11">
        <v>2.8559999999999999</v>
      </c>
      <c r="D11" s="12">
        <v>43294</v>
      </c>
      <c r="E11" s="12">
        <v>43297</v>
      </c>
      <c r="F11" s="12">
        <v>43297</v>
      </c>
      <c r="G11" s="11" t="s">
        <v>30</v>
      </c>
      <c r="H11" s="11" t="s">
        <v>31</v>
      </c>
    </row>
    <row r="14" spans="1:8" x14ac:dyDescent="0.2">
      <c r="A14">
        <v>2024</v>
      </c>
      <c r="B14">
        <f>SUM(C3:C4)</f>
        <v>3.79</v>
      </c>
      <c r="C14">
        <f t="shared" ref="C14:C19" si="0">B14/B15-1</f>
        <v>1.0666666666666602E-2</v>
      </c>
      <c r="E14" s="16">
        <f>AVERAGE(C14:C20)</f>
        <v>4.1910859109259881E-2</v>
      </c>
    </row>
    <row r="15" spans="1:8" x14ac:dyDescent="0.2">
      <c r="A15">
        <v>2023</v>
      </c>
      <c r="B15">
        <f>C5</f>
        <v>3.75</v>
      </c>
      <c r="C15">
        <f t="shared" si="0"/>
        <v>5.3619302949061698E-3</v>
      </c>
    </row>
    <row r="16" spans="1:8" x14ac:dyDescent="0.2">
      <c r="A16">
        <v>2022</v>
      </c>
      <c r="B16">
        <f t="shared" ref="B16:B21" si="1">C6</f>
        <v>3.73</v>
      </c>
      <c r="C16">
        <f t="shared" si="0"/>
        <v>5.0704225352112831E-2</v>
      </c>
    </row>
    <row r="17" spans="1:3" x14ac:dyDescent="0.2">
      <c r="A17">
        <v>2021</v>
      </c>
      <c r="B17">
        <f t="shared" si="1"/>
        <v>3.55</v>
      </c>
      <c r="C17">
        <f t="shared" si="0"/>
        <v>0.11987381703470024</v>
      </c>
    </row>
    <row r="18" spans="1:3" x14ac:dyDescent="0.2">
      <c r="A18">
        <v>2020</v>
      </c>
      <c r="B18">
        <f t="shared" si="1"/>
        <v>3.17</v>
      </c>
      <c r="C18">
        <f t="shared" si="0"/>
        <v>6.3492063492063266E-3</v>
      </c>
    </row>
    <row r="19" spans="1:3" x14ac:dyDescent="0.2">
      <c r="A19">
        <v>2019</v>
      </c>
      <c r="B19">
        <f t="shared" si="1"/>
        <v>3.15</v>
      </c>
      <c r="C19">
        <f t="shared" si="0"/>
        <v>5.0000000000000044E-2</v>
      </c>
    </row>
    <row r="20" spans="1:3" x14ac:dyDescent="0.2">
      <c r="A20">
        <v>2018</v>
      </c>
      <c r="B20">
        <f t="shared" si="1"/>
        <v>3</v>
      </c>
      <c r="C20">
        <f>B20/B21-1</f>
        <v>5.0420168067226934E-2</v>
      </c>
    </row>
    <row r="21" spans="1:3" x14ac:dyDescent="0.2">
      <c r="A21">
        <v>2017</v>
      </c>
      <c r="B21">
        <f t="shared" si="1"/>
        <v>2.8559999999999999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CEFF-A3F1-434A-9EA6-8E027CFFB7DF}">
  <dimension ref="A1:H21"/>
  <sheetViews>
    <sheetView workbookViewId="0">
      <selection activeCell="A14" sqref="A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9.33203125" bestFit="1" customWidth="1"/>
    <col min="7" max="7" width="12.832031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45898</v>
      </c>
      <c r="C2" s="11">
        <v>5.65</v>
      </c>
      <c r="D2" s="11" t="s">
        <v>25</v>
      </c>
      <c r="E2" s="11" t="s">
        <v>25</v>
      </c>
      <c r="F2" s="11" t="s">
        <v>25</v>
      </c>
      <c r="G2" s="11" t="s">
        <v>26</v>
      </c>
      <c r="H2" s="11" t="s">
        <v>27</v>
      </c>
    </row>
    <row r="3" spans="1:8" ht="18" x14ac:dyDescent="0.2">
      <c r="A3" s="11" t="s">
        <v>28</v>
      </c>
      <c r="B3" s="12">
        <v>45824</v>
      </c>
      <c r="C3" s="11">
        <v>10.6</v>
      </c>
      <c r="D3" s="12">
        <v>45827</v>
      </c>
      <c r="E3" s="12">
        <v>45828</v>
      </c>
      <c r="F3" s="12">
        <v>45828</v>
      </c>
      <c r="G3" s="11" t="s">
        <v>30</v>
      </c>
      <c r="H3" s="11" t="s">
        <v>27</v>
      </c>
    </row>
    <row r="4" spans="1:8" ht="18" x14ac:dyDescent="0.2">
      <c r="A4" s="11" t="s">
        <v>34</v>
      </c>
      <c r="B4" s="12">
        <v>45476</v>
      </c>
      <c r="C4" s="11">
        <v>10.4</v>
      </c>
      <c r="D4" s="12">
        <v>45481</v>
      </c>
      <c r="E4" s="12">
        <v>45482</v>
      </c>
      <c r="F4" s="12">
        <v>45482</v>
      </c>
      <c r="G4" s="11" t="s">
        <v>30</v>
      </c>
      <c r="H4" s="11" t="s">
        <v>27</v>
      </c>
    </row>
    <row r="5" spans="1:8" ht="18" x14ac:dyDescent="0.2">
      <c r="A5" s="11" t="s">
        <v>36</v>
      </c>
      <c r="B5" s="12">
        <v>45090</v>
      </c>
      <c r="C5" s="11">
        <v>11.88</v>
      </c>
      <c r="D5" s="12">
        <v>45093</v>
      </c>
      <c r="E5" s="12">
        <v>45096</v>
      </c>
      <c r="F5" s="12">
        <v>45096</v>
      </c>
      <c r="G5" s="11" t="s">
        <v>30</v>
      </c>
      <c r="H5" s="11" t="s">
        <v>27</v>
      </c>
    </row>
    <row r="6" spans="1:8" ht="18" x14ac:dyDescent="0.2">
      <c r="A6" s="11" t="s">
        <v>38</v>
      </c>
      <c r="B6" s="12">
        <v>44721</v>
      </c>
      <c r="C6" s="11">
        <v>10.35</v>
      </c>
      <c r="D6" s="12">
        <v>44727</v>
      </c>
      <c r="E6" s="12">
        <v>44728</v>
      </c>
      <c r="F6" s="12">
        <v>44728</v>
      </c>
      <c r="G6" s="11" t="s">
        <v>30</v>
      </c>
      <c r="H6" s="11" t="s">
        <v>27</v>
      </c>
    </row>
    <row r="7" spans="1:8" ht="18" x14ac:dyDescent="0.2">
      <c r="A7" s="11" t="s">
        <v>40</v>
      </c>
      <c r="B7" s="12">
        <v>44370</v>
      </c>
      <c r="C7" s="11">
        <v>8.02</v>
      </c>
      <c r="D7" s="12">
        <v>44375</v>
      </c>
      <c r="E7" s="12">
        <v>44376</v>
      </c>
      <c r="F7" s="12">
        <v>44376</v>
      </c>
      <c r="G7" s="11" t="s">
        <v>30</v>
      </c>
      <c r="H7" s="11" t="s">
        <v>27</v>
      </c>
    </row>
    <row r="8" spans="1:8" ht="18" x14ac:dyDescent="0.2">
      <c r="A8" s="11" t="s">
        <v>42</v>
      </c>
      <c r="B8" s="12">
        <v>44020</v>
      </c>
      <c r="C8" s="11">
        <v>7.62</v>
      </c>
      <c r="D8" s="12">
        <v>44026</v>
      </c>
      <c r="E8" s="12">
        <v>44027</v>
      </c>
      <c r="F8" s="12">
        <v>44027</v>
      </c>
      <c r="G8" s="11" t="s">
        <v>30</v>
      </c>
      <c r="H8" s="11" t="s">
        <v>27</v>
      </c>
    </row>
    <row r="9" spans="1:8" ht="18" x14ac:dyDescent="0.2">
      <c r="A9" s="11" t="s">
        <v>44</v>
      </c>
      <c r="B9" s="12">
        <v>43627</v>
      </c>
      <c r="C9" s="11">
        <v>6.9</v>
      </c>
      <c r="D9" s="12">
        <v>43634</v>
      </c>
      <c r="E9" s="12">
        <v>43635</v>
      </c>
      <c r="F9" s="12">
        <v>43635</v>
      </c>
      <c r="G9" s="11" t="s">
        <v>30</v>
      </c>
      <c r="H9" s="11" t="s">
        <v>27</v>
      </c>
    </row>
    <row r="10" spans="1:8" ht="18" x14ac:dyDescent="0.2">
      <c r="A10" s="11" t="s">
        <v>46</v>
      </c>
      <c r="B10" s="12">
        <v>43259</v>
      </c>
      <c r="C10" s="11">
        <v>6.5</v>
      </c>
      <c r="D10" s="12">
        <v>43265</v>
      </c>
      <c r="E10" s="12">
        <v>43266</v>
      </c>
      <c r="F10" s="12">
        <v>43266</v>
      </c>
      <c r="G10" s="11" t="s">
        <v>30</v>
      </c>
      <c r="H10" s="11" t="s">
        <v>27</v>
      </c>
    </row>
    <row r="11" spans="1:8" ht="18" x14ac:dyDescent="0.2">
      <c r="A11" s="11" t="s">
        <v>48</v>
      </c>
      <c r="B11" s="12">
        <v>42893</v>
      </c>
      <c r="C11" s="11">
        <v>6.1</v>
      </c>
      <c r="D11" s="12">
        <v>42899</v>
      </c>
      <c r="E11" s="12">
        <v>42900</v>
      </c>
      <c r="F11" s="12">
        <v>42900</v>
      </c>
      <c r="G11" s="11" t="s">
        <v>30</v>
      </c>
      <c r="H11" s="11" t="s">
        <v>27</v>
      </c>
    </row>
    <row r="13" spans="1:8" x14ac:dyDescent="0.2">
      <c r="A13" s="21">
        <v>2024</v>
      </c>
      <c r="B13">
        <f>C3</f>
        <v>10.6</v>
      </c>
      <c r="C13">
        <f t="shared" ref="C13:C19" si="0">B13/B14-1</f>
        <v>1.9230769230769162E-2</v>
      </c>
      <c r="E13" s="16">
        <f>AVERAGE(C13:C20)</f>
        <v>7.7119364852333117E-2</v>
      </c>
    </row>
    <row r="14" spans="1:8" x14ac:dyDescent="0.2">
      <c r="A14" s="21">
        <v>2023</v>
      </c>
      <c r="B14">
        <f t="shared" ref="B14:B21" si="1">0+(C4)</f>
        <v>10.4</v>
      </c>
      <c r="C14">
        <f>B14/B15-1</f>
        <v>-0.12457912457912457</v>
      </c>
    </row>
    <row r="15" spans="1:8" x14ac:dyDescent="0.2">
      <c r="A15" s="21">
        <v>2022</v>
      </c>
      <c r="B15">
        <f t="shared" si="1"/>
        <v>11.88</v>
      </c>
      <c r="C15">
        <f t="shared" si="0"/>
        <v>0.14782608695652177</v>
      </c>
    </row>
    <row r="16" spans="1:8" x14ac:dyDescent="0.2">
      <c r="A16" s="21">
        <v>2021</v>
      </c>
      <c r="B16">
        <f t="shared" si="1"/>
        <v>10.35</v>
      </c>
      <c r="C16">
        <f t="shared" si="0"/>
        <v>0.29052369077306728</v>
      </c>
    </row>
    <row r="17" spans="1:3" x14ac:dyDescent="0.2">
      <c r="A17" s="21">
        <v>2020</v>
      </c>
      <c r="B17">
        <f t="shared" si="1"/>
        <v>8.02</v>
      </c>
      <c r="C17">
        <f t="shared" si="0"/>
        <v>5.2493438320209806E-2</v>
      </c>
    </row>
    <row r="18" spans="1:3" x14ac:dyDescent="0.2">
      <c r="A18" s="21">
        <v>2019</v>
      </c>
      <c r="B18">
        <f t="shared" si="1"/>
        <v>7.62</v>
      </c>
      <c r="C18">
        <f t="shared" si="0"/>
        <v>0.10434782608695659</v>
      </c>
    </row>
    <row r="19" spans="1:3" x14ac:dyDescent="0.2">
      <c r="A19" s="21">
        <v>2018</v>
      </c>
      <c r="B19">
        <f t="shared" si="1"/>
        <v>6.9</v>
      </c>
      <c r="C19">
        <f t="shared" si="0"/>
        <v>6.1538461538461542E-2</v>
      </c>
    </row>
    <row r="20" spans="1:3" x14ac:dyDescent="0.2">
      <c r="A20" s="21">
        <v>2017</v>
      </c>
      <c r="B20">
        <f t="shared" si="1"/>
        <v>6.5</v>
      </c>
      <c r="C20">
        <f>B20/B21-1</f>
        <v>6.5573770491803351E-2</v>
      </c>
    </row>
    <row r="21" spans="1:3" x14ac:dyDescent="0.2">
      <c r="A21" s="21">
        <v>2016</v>
      </c>
      <c r="B21">
        <f t="shared" si="1"/>
        <v>6.1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EEE9-207B-5148-8518-B90FFC9F89C3}">
  <dimension ref="A1:H22"/>
  <sheetViews>
    <sheetView workbookViewId="0">
      <selection activeCell="B14" sqref="B14"/>
    </sheetView>
  </sheetViews>
  <sheetFormatPr baseColWidth="10" defaultRowHeight="16" x14ac:dyDescent="0.2"/>
  <cols>
    <col min="1" max="1" width="12.83203125" bestFit="1" customWidth="1"/>
    <col min="2" max="2" width="10.5" bestFit="1" customWidth="1"/>
    <col min="3" max="3" width="14" bestFit="1" customWidth="1"/>
    <col min="4" max="5" width="12.83203125" bestFit="1" customWidth="1"/>
    <col min="6" max="6" width="10.5" bestFit="1" customWidth="1"/>
    <col min="7" max="7" width="15.1640625" bestFit="1" customWidth="1"/>
    <col min="8" max="8" width="10.5" bestFit="1" customWidth="1"/>
  </cols>
  <sheetData>
    <row r="1" spans="1:8" ht="18" x14ac:dyDescent="0.2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</row>
    <row r="2" spans="1:8" ht="18" x14ac:dyDescent="0.2">
      <c r="A2" s="11" t="s">
        <v>23</v>
      </c>
      <c r="B2" s="12">
        <v>45897</v>
      </c>
      <c r="C2" s="11">
        <v>1.88</v>
      </c>
      <c r="D2" s="11" t="s">
        <v>25</v>
      </c>
      <c r="E2" s="11" t="s">
        <v>25</v>
      </c>
      <c r="F2" s="11" t="s">
        <v>25</v>
      </c>
      <c r="G2" s="11" t="s">
        <v>50</v>
      </c>
      <c r="H2" s="11" t="s">
        <v>27</v>
      </c>
    </row>
    <row r="3" spans="1:8" ht="18" x14ac:dyDescent="0.2">
      <c r="A3" s="11" t="s">
        <v>28</v>
      </c>
      <c r="B3" s="12">
        <v>45841</v>
      </c>
      <c r="C3" s="11">
        <v>1.722</v>
      </c>
      <c r="D3" s="12">
        <v>45847</v>
      </c>
      <c r="E3" s="12">
        <v>45848</v>
      </c>
      <c r="F3" s="12">
        <v>45848</v>
      </c>
      <c r="G3" s="11" t="s">
        <v>30</v>
      </c>
      <c r="H3" s="11" t="s">
        <v>31</v>
      </c>
    </row>
    <row r="4" spans="1:8" ht="18" x14ac:dyDescent="0.2">
      <c r="A4" s="11" t="s">
        <v>32</v>
      </c>
      <c r="B4" s="12">
        <v>45630</v>
      </c>
      <c r="C4" s="11">
        <v>1.825</v>
      </c>
      <c r="D4" s="12">
        <v>45636</v>
      </c>
      <c r="E4" s="12">
        <v>45637</v>
      </c>
      <c r="F4" s="12">
        <v>45637</v>
      </c>
      <c r="G4" s="11" t="s">
        <v>30</v>
      </c>
      <c r="H4" s="11" t="s">
        <v>31</v>
      </c>
    </row>
    <row r="5" spans="1:8" ht="18" x14ac:dyDescent="0.2">
      <c r="A5" s="11" t="s">
        <v>34</v>
      </c>
      <c r="B5" s="12">
        <v>45476</v>
      </c>
      <c r="C5" s="11">
        <v>3.2610000000000001</v>
      </c>
      <c r="D5" s="12">
        <v>45482</v>
      </c>
      <c r="E5" s="12">
        <v>45483</v>
      </c>
      <c r="F5" s="12">
        <v>45483</v>
      </c>
      <c r="G5" s="11" t="s">
        <v>30</v>
      </c>
      <c r="H5" s="11" t="s">
        <v>31</v>
      </c>
    </row>
    <row r="6" spans="1:8" ht="18" x14ac:dyDescent="0.2">
      <c r="A6" s="11" t="s">
        <v>36</v>
      </c>
      <c r="B6" s="12">
        <v>45120</v>
      </c>
      <c r="C6" s="11">
        <v>3.29</v>
      </c>
      <c r="D6" s="12">
        <v>45126</v>
      </c>
      <c r="E6" s="12">
        <v>45127</v>
      </c>
      <c r="F6" s="12">
        <v>45127</v>
      </c>
      <c r="G6" s="11" t="s">
        <v>30</v>
      </c>
      <c r="H6" s="11" t="s">
        <v>31</v>
      </c>
    </row>
    <row r="7" spans="1:8" ht="18" x14ac:dyDescent="0.2">
      <c r="A7" s="11" t="s">
        <v>38</v>
      </c>
      <c r="B7" s="12">
        <v>44763</v>
      </c>
      <c r="C7" s="11">
        <v>3.02</v>
      </c>
      <c r="D7" s="12">
        <v>44769</v>
      </c>
      <c r="E7" s="12">
        <v>44770</v>
      </c>
      <c r="F7" s="12">
        <v>44770</v>
      </c>
      <c r="G7" s="11" t="s">
        <v>30</v>
      </c>
      <c r="H7" s="11" t="s">
        <v>31</v>
      </c>
    </row>
    <row r="8" spans="1:8" ht="18" x14ac:dyDescent="0.2">
      <c r="A8" s="11" t="s">
        <v>40</v>
      </c>
      <c r="B8" s="12">
        <v>44399</v>
      </c>
      <c r="C8" s="11">
        <v>2.54</v>
      </c>
      <c r="D8" s="12">
        <v>44405</v>
      </c>
      <c r="E8" s="12">
        <v>44406</v>
      </c>
      <c r="F8" s="12">
        <v>44406</v>
      </c>
      <c r="G8" s="11" t="s">
        <v>30</v>
      </c>
      <c r="H8" s="11" t="s">
        <v>31</v>
      </c>
    </row>
    <row r="9" spans="1:8" ht="18" x14ac:dyDescent="0.2">
      <c r="A9" s="11" t="s">
        <v>42</v>
      </c>
      <c r="B9" s="12">
        <v>44020</v>
      </c>
      <c r="C9" s="11">
        <v>2.39</v>
      </c>
      <c r="D9" s="12">
        <v>44026</v>
      </c>
      <c r="E9" s="12">
        <v>44027</v>
      </c>
      <c r="F9" s="12">
        <v>44027</v>
      </c>
      <c r="G9" s="11" t="s">
        <v>30</v>
      </c>
      <c r="H9" s="11" t="s">
        <v>31</v>
      </c>
    </row>
    <row r="10" spans="1:8" ht="18" x14ac:dyDescent="0.2">
      <c r="A10" s="11" t="s">
        <v>44</v>
      </c>
      <c r="B10" s="12">
        <v>43661</v>
      </c>
      <c r="C10" s="11">
        <v>2.2999999999999998</v>
      </c>
      <c r="D10" s="12">
        <v>43665</v>
      </c>
      <c r="E10" s="12">
        <v>43668</v>
      </c>
      <c r="F10" s="12">
        <v>43668</v>
      </c>
      <c r="G10" s="11" t="s">
        <v>30</v>
      </c>
      <c r="H10" s="11" t="s">
        <v>31</v>
      </c>
    </row>
    <row r="11" spans="1:8" ht="18" x14ac:dyDescent="0.2">
      <c r="A11" s="11" t="s">
        <v>46</v>
      </c>
      <c r="B11" s="12">
        <v>43277</v>
      </c>
      <c r="C11" s="11">
        <v>2.61</v>
      </c>
      <c r="D11" s="12">
        <v>43283</v>
      </c>
      <c r="E11" s="12">
        <v>43284</v>
      </c>
      <c r="F11" s="12">
        <v>43284</v>
      </c>
      <c r="G11" s="11" t="s">
        <v>30</v>
      </c>
      <c r="H11" s="11" t="s">
        <v>31</v>
      </c>
    </row>
    <row r="14" spans="1:8" x14ac:dyDescent="0.2">
      <c r="A14" s="21">
        <v>2024</v>
      </c>
      <c r="B14">
        <f>SUM(C3:C4)</f>
        <v>3.5469999999999997</v>
      </c>
      <c r="C14">
        <f t="shared" ref="C14:C19" si="0">B14/B15-1</f>
        <v>8.7703158540324955E-2</v>
      </c>
      <c r="E14" s="17">
        <f>AVERAGE(C14:C20)</f>
        <v>4.8626702147995311E-2</v>
      </c>
    </row>
    <row r="15" spans="1:8" x14ac:dyDescent="0.2">
      <c r="A15" s="21">
        <v>2023</v>
      </c>
      <c r="B15">
        <f>C5</f>
        <v>3.2610000000000001</v>
      </c>
      <c r="C15">
        <f t="shared" si="0"/>
        <v>-8.8145896656535161E-3</v>
      </c>
    </row>
    <row r="16" spans="1:8" x14ac:dyDescent="0.2">
      <c r="A16" s="21">
        <v>2022</v>
      </c>
      <c r="B16">
        <f t="shared" ref="B16:B21" si="1">C6</f>
        <v>3.29</v>
      </c>
      <c r="C16">
        <f t="shared" si="0"/>
        <v>8.9403973509933676E-2</v>
      </c>
    </row>
    <row r="17" spans="1:3" x14ac:dyDescent="0.2">
      <c r="A17" s="21">
        <v>2021</v>
      </c>
      <c r="B17">
        <f t="shared" si="1"/>
        <v>3.02</v>
      </c>
      <c r="C17">
        <f t="shared" si="0"/>
        <v>0.18897637795275579</v>
      </c>
    </row>
    <row r="18" spans="1:3" x14ac:dyDescent="0.2">
      <c r="A18" s="21">
        <v>2020</v>
      </c>
      <c r="B18">
        <f t="shared" si="1"/>
        <v>2.54</v>
      </c>
      <c r="C18">
        <f t="shared" si="0"/>
        <v>6.2761506276150625E-2</v>
      </c>
    </row>
    <row r="19" spans="1:3" x14ac:dyDescent="0.2">
      <c r="A19" s="21">
        <v>2019</v>
      </c>
      <c r="B19">
        <f t="shared" si="1"/>
        <v>2.39</v>
      </c>
      <c r="C19">
        <f t="shared" si="0"/>
        <v>3.9130434782608914E-2</v>
      </c>
    </row>
    <row r="20" spans="1:3" x14ac:dyDescent="0.2">
      <c r="A20" s="21">
        <v>2018</v>
      </c>
      <c r="B20">
        <f t="shared" si="1"/>
        <v>2.2999999999999998</v>
      </c>
      <c r="C20">
        <f>B20/B21-1</f>
        <v>-0.11877394636015326</v>
      </c>
    </row>
    <row r="21" spans="1:3" x14ac:dyDescent="0.2">
      <c r="A21" s="21">
        <v>2017</v>
      </c>
      <c r="B21">
        <f t="shared" si="1"/>
        <v>2.61</v>
      </c>
    </row>
    <row r="22" spans="1:3" x14ac:dyDescent="0.2">
      <c r="A22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E9D9-3F98-F44A-A117-3A66E2BD5B5A}">
  <dimension ref="A1:H20"/>
  <sheetViews>
    <sheetView zoomScale="173" workbookViewId="0">
      <selection activeCell="C19" sqref="C13:C19"/>
    </sheetView>
  </sheetViews>
  <sheetFormatPr baseColWidth="10" defaultRowHeight="16" x14ac:dyDescent="0.2"/>
  <cols>
    <col min="1" max="1" width="10.5" bestFit="1" customWidth="1"/>
    <col min="2" max="2" width="9.33203125" bestFit="1" customWidth="1"/>
    <col min="3" max="3" width="16.5" bestFit="1" customWidth="1"/>
    <col min="4" max="6" width="9.33203125" bestFit="1" customWidth="1"/>
    <col min="7" max="8" width="10.5" bestFit="1" customWidth="1"/>
  </cols>
  <sheetData>
    <row r="1" spans="1:8" ht="18" x14ac:dyDescent="0.2">
      <c r="A1" s="11" t="s">
        <v>28</v>
      </c>
      <c r="B1" s="12">
        <v>45848</v>
      </c>
      <c r="C1" s="11">
        <v>4.0999999999999996</v>
      </c>
      <c r="D1" s="12">
        <v>45853</v>
      </c>
      <c r="E1" s="12">
        <v>45854</v>
      </c>
      <c r="F1" s="12">
        <v>45854</v>
      </c>
      <c r="G1" s="11" t="s">
        <v>30</v>
      </c>
      <c r="H1" s="11" t="s">
        <v>27</v>
      </c>
    </row>
    <row r="2" spans="1:8" ht="18" x14ac:dyDescent="0.2">
      <c r="A2" s="11" t="s">
        <v>34</v>
      </c>
      <c r="B2" s="12">
        <v>45484</v>
      </c>
      <c r="C2" s="11">
        <v>3.21</v>
      </c>
      <c r="D2" s="12">
        <v>45490</v>
      </c>
      <c r="E2" s="12">
        <v>45491</v>
      </c>
      <c r="F2" s="12">
        <v>45491</v>
      </c>
      <c r="G2" s="11" t="s">
        <v>30</v>
      </c>
      <c r="H2" s="11" t="s">
        <v>27</v>
      </c>
    </row>
    <row r="3" spans="1:8" ht="18" x14ac:dyDescent="0.2">
      <c r="A3" s="11" t="s">
        <v>36</v>
      </c>
      <c r="B3" s="12">
        <v>45120</v>
      </c>
      <c r="C3" s="11">
        <v>3.2</v>
      </c>
      <c r="D3" s="12">
        <v>45127</v>
      </c>
      <c r="E3" s="12">
        <v>45128</v>
      </c>
      <c r="F3" s="12">
        <v>45128</v>
      </c>
      <c r="G3" s="11" t="s">
        <v>30</v>
      </c>
      <c r="H3" s="11" t="s">
        <v>27</v>
      </c>
    </row>
    <row r="4" spans="1:8" ht="18" x14ac:dyDescent="0.2">
      <c r="A4" s="11" t="s">
        <v>38</v>
      </c>
      <c r="B4" s="12">
        <v>44755</v>
      </c>
      <c r="C4" s="11">
        <v>4.0999999999999996</v>
      </c>
      <c r="D4" s="12">
        <v>44762</v>
      </c>
      <c r="E4" s="12">
        <v>44763</v>
      </c>
      <c r="F4" s="12">
        <v>44763</v>
      </c>
      <c r="G4" s="11" t="s">
        <v>30</v>
      </c>
      <c r="H4" s="11" t="s">
        <v>27</v>
      </c>
    </row>
    <row r="5" spans="1:8" ht="18" x14ac:dyDescent="0.2">
      <c r="A5" s="11" t="s">
        <v>40</v>
      </c>
      <c r="B5" s="12">
        <v>44390</v>
      </c>
      <c r="C5" s="11">
        <v>4.8</v>
      </c>
      <c r="D5" s="12">
        <v>44397</v>
      </c>
      <c r="E5" s="12">
        <v>44398</v>
      </c>
      <c r="F5" s="12">
        <v>44398</v>
      </c>
      <c r="G5" s="11" t="s">
        <v>30</v>
      </c>
      <c r="H5" s="11" t="s">
        <v>27</v>
      </c>
    </row>
    <row r="6" spans="1:8" ht="18" x14ac:dyDescent="0.2">
      <c r="A6" s="11" t="s">
        <v>42</v>
      </c>
      <c r="B6" s="12">
        <v>44028</v>
      </c>
      <c r="C6" s="11">
        <v>6</v>
      </c>
      <c r="D6" s="12">
        <v>44034</v>
      </c>
      <c r="E6" s="12">
        <v>44035</v>
      </c>
      <c r="F6" s="12">
        <v>44035</v>
      </c>
      <c r="G6" s="11" t="s">
        <v>30</v>
      </c>
      <c r="H6" s="11" t="s">
        <v>27</v>
      </c>
    </row>
    <row r="7" spans="1:8" ht="18" x14ac:dyDescent="0.2">
      <c r="A7" s="11" t="s">
        <v>44</v>
      </c>
      <c r="B7" s="12">
        <v>43620</v>
      </c>
      <c r="C7" s="11">
        <v>3.5</v>
      </c>
      <c r="D7" s="12">
        <v>43626</v>
      </c>
      <c r="E7" s="12">
        <v>43627</v>
      </c>
      <c r="F7" s="12">
        <v>43627</v>
      </c>
      <c r="G7" s="11" t="s">
        <v>30</v>
      </c>
      <c r="H7" s="11" t="s">
        <v>27</v>
      </c>
    </row>
    <row r="8" spans="1:8" ht="18" x14ac:dyDescent="0.2">
      <c r="A8" s="11" t="s">
        <v>46</v>
      </c>
      <c r="B8" s="12">
        <v>43287</v>
      </c>
      <c r="C8" s="11">
        <v>1</v>
      </c>
      <c r="D8" s="12">
        <v>43293</v>
      </c>
      <c r="E8" s="12">
        <v>43294</v>
      </c>
      <c r="F8" s="12">
        <v>43294</v>
      </c>
      <c r="G8" s="11" t="s">
        <v>30</v>
      </c>
      <c r="H8" s="11" t="s">
        <v>27</v>
      </c>
    </row>
    <row r="9" spans="1:8" ht="18" x14ac:dyDescent="0.2">
      <c r="A9" s="11" t="s">
        <v>48</v>
      </c>
      <c r="B9" s="12">
        <v>42874</v>
      </c>
      <c r="C9" s="22" t="s">
        <v>51</v>
      </c>
      <c r="D9" s="12">
        <v>42879</v>
      </c>
      <c r="E9" s="12">
        <v>42880</v>
      </c>
      <c r="F9" s="12">
        <v>42880</v>
      </c>
      <c r="G9" s="11" t="s">
        <v>30</v>
      </c>
      <c r="H9" s="11" t="s">
        <v>27</v>
      </c>
    </row>
    <row r="10" spans="1:8" ht="18" x14ac:dyDescent="0.2">
      <c r="A10" s="11" t="s">
        <v>49</v>
      </c>
      <c r="B10" s="12">
        <v>42537</v>
      </c>
      <c r="C10" s="22" t="s">
        <v>52</v>
      </c>
      <c r="D10" s="12">
        <v>42543</v>
      </c>
      <c r="E10" s="12">
        <v>42544</v>
      </c>
      <c r="F10" s="12">
        <v>42544</v>
      </c>
      <c r="G10" s="11" t="s">
        <v>30</v>
      </c>
      <c r="H10" s="11" t="s">
        <v>27</v>
      </c>
    </row>
    <row r="13" spans="1:8" x14ac:dyDescent="0.2">
      <c r="A13" s="21">
        <v>2024</v>
      </c>
      <c r="B13">
        <f>C1</f>
        <v>4.0999999999999996</v>
      </c>
      <c r="C13" s="14">
        <f t="shared" ref="C13:C18" si="0">B13/B14-1</f>
        <v>0.27725856697819307</v>
      </c>
      <c r="E13" s="14">
        <f>AVERAGE(C13:C19)</f>
        <v>0.41847482182980322</v>
      </c>
    </row>
    <row r="14" spans="1:8" x14ac:dyDescent="0.2">
      <c r="A14" s="21">
        <v>2023</v>
      </c>
      <c r="B14">
        <f t="shared" ref="B14:B20" si="1">C2</f>
        <v>3.21</v>
      </c>
      <c r="C14" s="14">
        <f t="shared" si="0"/>
        <v>3.1249999999998224E-3</v>
      </c>
    </row>
    <row r="15" spans="1:8" x14ac:dyDescent="0.2">
      <c r="A15" s="21">
        <v>2022</v>
      </c>
      <c r="B15">
        <f t="shared" si="1"/>
        <v>3.2</v>
      </c>
      <c r="C15" s="14">
        <f t="shared" si="0"/>
        <v>-0.21951219512195108</v>
      </c>
    </row>
    <row r="16" spans="1:8" x14ac:dyDescent="0.2">
      <c r="A16" s="21">
        <v>2021</v>
      </c>
      <c r="B16">
        <f t="shared" si="1"/>
        <v>4.0999999999999996</v>
      </c>
      <c r="C16" s="14">
        <f t="shared" si="0"/>
        <v>-0.14583333333333337</v>
      </c>
    </row>
    <row r="17" spans="1:3" x14ac:dyDescent="0.2">
      <c r="A17" s="21">
        <v>2020</v>
      </c>
      <c r="B17">
        <f t="shared" si="1"/>
        <v>4.8</v>
      </c>
      <c r="C17" s="14">
        <f t="shared" si="0"/>
        <v>-0.20000000000000007</v>
      </c>
    </row>
    <row r="18" spans="1:3" x14ac:dyDescent="0.2">
      <c r="A18" s="21">
        <v>2019</v>
      </c>
      <c r="B18">
        <f t="shared" si="1"/>
        <v>6</v>
      </c>
      <c r="C18" s="14">
        <f t="shared" si="0"/>
        <v>0.71428571428571419</v>
      </c>
    </row>
    <row r="19" spans="1:3" x14ac:dyDescent="0.2">
      <c r="A19" s="21">
        <v>2018</v>
      </c>
      <c r="B19">
        <f t="shared" si="1"/>
        <v>3.5</v>
      </c>
      <c r="C19" s="14">
        <f>B19/B20-1</f>
        <v>2.5</v>
      </c>
    </row>
    <row r="20" spans="1:3" x14ac:dyDescent="0.2">
      <c r="A20" s="21">
        <v>2017</v>
      </c>
      <c r="B20">
        <f t="shared" si="1"/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banks</vt:lpstr>
      <vt:lpstr>div1</vt:lpstr>
      <vt:lpstr>div2</vt:lpstr>
      <vt:lpstr>div3</vt:lpstr>
      <vt:lpstr>div4</vt:lpstr>
      <vt:lpstr>div5</vt:lpstr>
      <vt:lpstr>div6</vt:lpstr>
      <vt:lpstr>div7</vt:lpstr>
      <vt:lpstr>div8</vt:lpstr>
      <vt:lpstr>div9</vt:lpstr>
      <vt:lpstr>div10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Chang</dc:creator>
  <cp:lastModifiedBy>DENG Chang</cp:lastModifiedBy>
  <dcterms:created xsi:type="dcterms:W3CDTF">2025-11-06T16:17:57Z</dcterms:created>
  <dcterms:modified xsi:type="dcterms:W3CDTF">2025-11-06T17:33:34Z</dcterms:modified>
</cp:coreProperties>
</file>